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DYNABOOK\Desktop\IREB_HOTPOTY\"/>
    </mc:Choice>
  </mc:AlternateContent>
  <xr:revisionPtr revIDLastSave="0" documentId="8_{E7150193-B8D7-49C8-88BD-C6DAF98D358F}" xr6:coauthVersionLast="47" xr6:coauthVersionMax="47" xr10:uidLastSave="{00000000-0000-0000-0000-000000000000}"/>
  <bookViews>
    <workbookView xWindow="-110" yWindow="-110" windowWidth="19420" windowHeight="11020" firstSheet="4" xr2:uid="{00000000-000D-0000-FFFF-FFFF00000000}"/>
  </bookViews>
  <sheets>
    <sheet name="Matriz Ckeck LIst" sheetId="1" r:id="rId1"/>
    <sheet name="MODELOLISTADECOMPROBACION-CU0-0" sheetId="2" r:id="rId2"/>
    <sheet name="MODELOLISTADECOMPROBACION-CU0-1" sheetId="7" r:id="rId3"/>
    <sheet name="MODELOLISTADECOMPROBACION-CU0-2" sheetId="6" r:id="rId4"/>
    <sheet name="RECOMENDACION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7" l="1"/>
  <c r="D35" i="7"/>
  <c r="C36" i="7"/>
  <c r="D36" i="7"/>
  <c r="C27" i="7"/>
  <c r="D27" i="7"/>
  <c r="C28" i="7"/>
  <c r="D28" i="7"/>
  <c r="C17" i="7"/>
  <c r="D17" i="7"/>
  <c r="C18" i="7"/>
  <c r="D18" i="7"/>
  <c r="D35" i="6"/>
  <c r="D36" i="6" s="1"/>
  <c r="C35" i="6"/>
  <c r="C36" i="6" s="1"/>
  <c r="D27" i="6"/>
  <c r="D28" i="6" s="1"/>
  <c r="C27" i="6"/>
  <c r="C28" i="6" s="1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H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I7" authorId="0" shapeId="0" xr:uid="{314E320B-DC35-49B2-9745-87E852D692DC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J7" authorId="0" shapeId="0" xr:uid="{4A5C61CE-18D7-481F-853D-D0DE40C9E0E5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H9" authorId="0" shapeId="0" xr:uid="{AB24277E-0F20-461C-9B55-F63E859FF057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J9" authorId="0" shapeId="0" xr:uid="{3B957484-9678-4A23-8D7D-8DE4862E9B2E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BD86F672-A2F7-44C7-A90C-A5033FA11105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F8E04E2C-EA8F-44D8-A833-C35A71BD0C8E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F559D832-9A80-4DFF-A2DF-684A2DC26144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A5A73EE7-E7FC-4DFD-A2D9-5B857AF97255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1E3C4C79-041D-4BAC-B336-A01D4BD69F68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3E55AAE6-1D5D-47CB-B285-461CCD2D68D3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27323AD7-1291-43AB-93C1-211D2E9664CC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8F41F6FC-77A1-4C82-BE73-A6EE2BE61DBB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F67442A6-8CC5-4A82-8AEF-40093E55EDBA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33371A68-993B-4314-83DC-9FCD47E67BF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CDB207E6-7FD5-42B2-BEB1-5E446FA9498E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2E583CC6-7027-4C1B-B1FD-0D2478A8C845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58BB8212-308A-4DD9-AC6A-5EE962945033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97831AFF-90F8-46C8-A01C-25341267813E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FB4EC94C-8FB9-4728-A52E-2F6B6A675F74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16D38991-43FE-481D-B1AB-50B5694CFDB4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9987B1C-95AD-40E8-8AEB-FE29515E3AFB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332397EC-4AA3-4353-8B3C-FC540CA9965E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<sst xmlns="http://schemas.openxmlformats.org/spreadsheetml/2006/main" count="293" uniqueCount="82">
  <si>
    <t>MATRIZ PARA COMPROBACIÓN REQUERIMIENTOS DE CALIDAD DE PROYECTO ACADEMICO</t>
  </si>
  <si>
    <t>SISTEMA:</t>
  </si>
  <si>
    <t>SISTEMA DE GESTION DE PEDIDOS (Bocatto Valley)</t>
  </si>
  <si>
    <t>Requerimientos  Funcionales</t>
  </si>
  <si>
    <t>Nº</t>
  </si>
  <si>
    <t>CRITERIOS DE CALIDAD (Documento/Requerimientos)</t>
  </si>
  <si>
    <t>Status
Nivel de Acuerdo</t>
  </si>
  <si>
    <t xml:space="preserve">
CU0-0 Autenticar en el sistema </t>
  </si>
  <si>
    <t>CU0-1 Tomar pedido en mesa</t>
  </si>
  <si>
    <t>CU0-2 Tomar pedido telefónico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</si>
  <si>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</si>
  <si>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</si>
  <si>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</si>
  <si>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</si>
  <si>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 y es de tipo Soporte</t>
  </si>
  <si>
    <t>1. En la descripción del caso de Uso se especifica la prioridad Alta y los tipos Primario y Esencial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</si>
  <si>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</si>
  <si>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</si>
  <si>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</si>
  <si>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</si>
  <si>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NOK</t>
  </si>
  <si>
    <t>1. No se tuvo un feedback final por parte del cliente.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</si>
  <si>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</si>
  <si>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</si>
  <si>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</si>
  <si>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</si>
  <si>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</si>
  <si>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1. No se planificó un plan de casos de prueba</t>
  </si>
  <si>
    <t>1. No se planificó un plan de casos de prueba.</t>
  </si>
  <si>
    <t>Realizable</t>
  </si>
  <si>
    <t>1. Funcionalidad tomada en cuenta dentro de la estimación del costo del proyecto 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</si>
  <si>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</si>
  <si>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</si>
  <si>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</si>
  <si>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</si>
  <si>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</si>
  <si>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</si>
  <si>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Sistema Bocatto</t>
  </si>
  <si>
    <t>FECHA:</t>
  </si>
  <si>
    <t>AUTOR:</t>
  </si>
  <si>
    <t>Kerlly Chiriboga</t>
  </si>
  <si>
    <t>REQUERIMIENTOS EVALUADOS :</t>
  </si>
  <si>
    <t>CU0-0 Autenticar en el sistema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</si>
  <si>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</si>
  <si>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</si>
  <si>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</si>
  <si>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</si>
  <si>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</si>
  <si>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</si>
  <si>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</si>
  <si>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</si>
  <si>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</si>
  <si>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</si>
  <si>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</si>
  <si>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</si>
  <si>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</si>
  <si>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</si>
  <si>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</si>
  <si>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</si>
  <si>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</si>
  <si>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</si>
  <si>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</si>
  <si>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</si>
  <si>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</si>
  <si>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</si>
  <si>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</si>
  <si>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</si>
  <si>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</si>
  <si>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</si>
  <si>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</si>
  <si>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</si>
  <si>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</si>
  <si>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Carlos Caiza</t>
  </si>
  <si>
    <t>Alexander Villacres</t>
  </si>
  <si>
    <t>PREGUNTA</t>
  </si>
  <si>
    <t>RECOMENDACIÓN</t>
  </si>
  <si>
    <t>¿Se han validado y aprobado formalmente todos los entregables de la entrevista (videoconferencia, minuta, acta de aceptación)?</t>
  </si>
  <si>
    <t>Se recomienda dejar constancia más clara de la validación de los entregables de cada reunión, ya que, aunque se realizaron las sesiones y se revisó la información, no se formalizó una aprobación mediante actas o confirmaciones claras por parte de todos los involucrados.</t>
  </si>
  <si>
    <t>¿Se han definido criterios de aceptación y casos de prueba
 que permitan medir objetivamente el cumplimiento del 
requisito?</t>
  </si>
  <si>
    <t>Se recomienda definir de manera más clara los criterios de aceptación y los casos de prueba, ya que, aunque se realizaron algunas pruebas y validaciones entre compañeros, no se estableció un proceso formal que permita medir objetivamente el cumplimiento de los requisitos.</t>
  </si>
  <si>
    <t>¿Se tomaron en cuenta todas las recomendaciones finales del cliente?</t>
  </si>
  <si>
    <t>Se recomienda presentar la versión final del SRS al cliente para su validación y aceptación formal, ya que, aunque se realizaron revisiones internas con la ingeniera, no se llevó a cabo una presentación directa al cliente que permita confirmar que todas sus recomendaciones han sido consideradas.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</si>
</sst>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  <font>
      <u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6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9" fontId="17" fillId="0" borderId="0" xfId="0" applyNumberFormat="1" applyFont="1"/>
    <xf numFmtId="0" fontId="8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/>
    <xf numFmtId="0" fontId="10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8" fillId="0" borderId="2" xfId="0" applyFont="1" applyBorder="1" applyAlignment="1">
      <alignment wrapText="1"/>
    </xf>
    <xf numFmtId="0" fontId="0" fillId="0" borderId="8" xfId="0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16" fillId="7" borderId="1" xfId="0" applyFont="1" applyFill="1" applyBorder="1" applyAlignment="1">
      <alignment horizontal="center" vertical="center"/>
    </xf>
    <xf numFmtId="0" fontId="0" fillId="0" borderId="0" xfId="0" applyAlignment="1"/>
    <xf numFmtId="0" fontId="5" fillId="0" borderId="3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10" xfId="0" applyFont="1" applyBorder="1" applyAlignment="1"/>
  </cellXfs>
  <cellStyles count="1">
    <cellStyle name="Normal" xfId="0" builtinId="0"/>
  </cellStyles>
  <dxfs count="5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3"/>
      <tableStyleElement type="firstRowStripe" dxfId="52"/>
      <tableStyleElement type="secondRowStripe" dxfId="51"/>
    </tableStyle>
    <tableStyle name="MODELO LISTA DE COMPROBACION - -style 2" pivot="0" count="3" xr9:uid="{00000000-0011-0000-FFFF-FFFF01000000}">
      <tableStyleElement type="headerRow" dxfId="50"/>
      <tableStyleElement type="firstRowStripe" dxfId="49"/>
      <tableStyleElement type="secondRowStripe" dxfId="48"/>
    </tableStyle>
    <tableStyle name="MODELO LISTA DE COMPROBACION - -style 3" pivot="0" count="3" xr9:uid="{00000000-0011-0000-FFFF-FFFF02000000}">
      <tableStyleElement type="headerRow" dxfId="47"/>
      <tableStyleElement type="firstRowStripe" dxfId="46"/>
      <tableStyleElement type="secondRowStripe" dxfId="45"/>
    </tableStyle>
    <tableStyle name="Hoja 1-style" pivot="0" count="3" xr9:uid="{00000000-0011-0000-FFFF-FFFF03000000}">
      <tableStyleElement type="headerRow" dxfId="44"/>
      <tableStyleElement type="firstRowStripe" dxfId="43"/>
      <tableStyleElement type="secondRowStripe" dxfId="42"/>
    </tableStyle>
    <tableStyle name="Hoja 1-style 2" pivot="0" count="3" xr9:uid="{00000000-0011-0000-FFFF-FFFF04000000}">
      <tableStyleElement type="headerRow" dxfId="41"/>
      <tableStyleElement type="firstRowStripe" dxfId="40"/>
      <tableStyleElement type="secondRowStripe" dxfId="39"/>
    </tableStyle>
    <tableStyle name="Hoja 1-style 3" pivot="0" count="3" xr9:uid="{00000000-0011-0000-FFFF-FFFF05000000}">
      <tableStyleElement type="headerRow" dxfId="38"/>
      <tableStyleElement type="firstRowStripe" dxfId="37"/>
      <tableStyleElement type="secondRowStripe" dxfId="36"/>
    </tableStyle>
    <tableStyle name="MODELO DE LISTA DE COMPROBACION-style" pivot="0" count="3" xr9:uid="{00000000-0011-0000-FFFF-FFFF06000000}">
      <tableStyleElement type="headerRow" dxfId="35"/>
      <tableStyleElement type="firstRowStripe" dxfId="34"/>
      <tableStyleElement type="secondRowStripe" dxfId="33"/>
    </tableStyle>
    <tableStyle name="MODELO DE LISTA DE COMPROBACION-style 2" pivot="0" count="3" xr9:uid="{00000000-0011-0000-FFFF-FFFF07000000}">
      <tableStyleElement type="headerRow" dxfId="32"/>
      <tableStyleElement type="firstRowStripe" dxfId="31"/>
      <tableStyleElement type="secondRowStripe" dxfId="30"/>
    </tableStyle>
    <tableStyle name="MODELO DE LISTA DE COMPROBACION-style 3" pivot="0" count="3" xr9:uid="{00000000-0011-0000-FFFF-FFFF08000000}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'MODELOLISTADECOMPROBACION-CU0-0'!$B$41:$B$43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'MODELOLISTADECOMPROBACION-CU0-0'!$C$41:$C$43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9BC-460B-A8D2-8063619E283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9BC-460B-A8D2-8063619E283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9BC-460B-A8D2-8063619E283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'MODELOLISTADECOMPROBACION-CU0-1'!$B$41:$B$43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'MODELOLISTADECOMPROBACION-CU0-1'!$C$41:$C$43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BC-460B-A8D2-8063619E2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4364-4EAD-B0FB-00FF143F5B2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4364-4EAD-B0FB-00FF143F5B2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4364-4EAD-B0FB-00FF143F5B2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'MODELOLISTADECOMPROBACION-CU0-2'!$B$41:$B$43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'MODELOLISTADECOMPROBACION-CU0-2'!$C$41:$C$43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64-4EAD-B0FB-00FF143F5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14B5FAA-F456-4749-8AAF-589B6E59D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94029-2638-43DB-B805-6FB56BC29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ACE443-8F98-4B46-97EE-D4BA869E3F9A}" name="Table_15" displayName="Table_15" ref="A7:D16">
  <tableColumns count="4">
    <tableColumn id="1" xr3:uid="{9993BA89-0198-40C9-83D2-2DA4D3FC5361}" name="No."/>
    <tableColumn id="2" xr3:uid="{05603481-29F7-4FB9-AEDA-F57E2AC630F4}" name="Pregunta"/>
    <tableColumn id="3" xr3:uid="{292160F4-0E7B-4F6E-B60D-F1508D7F03A8}" name="SI"/>
    <tableColumn id="4" xr3:uid="{81336C1D-D1E7-49C6-A273-8693D23CA29B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B797D3-ACD8-475D-825C-23CF4A36BB3E}" name="Table_26" displayName="Table_26" ref="A21:D26">
  <tableColumns count="4">
    <tableColumn id="1" xr3:uid="{0C606C09-5F4B-41BB-81A5-7F2937CBC68C}" name="No."/>
    <tableColumn id="2" xr3:uid="{2C8B463A-FBC2-4E20-9961-DE18741E06DC}" name="Pregunta"/>
    <tableColumn id="3" xr3:uid="{F63126B7-5A4C-470C-8D60-9B1497922E64}" name="SI"/>
    <tableColumn id="4" xr3:uid="{721D8DE8-88BE-4EAE-9F2E-30F6B8A405CD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FFB413-9241-4D6B-B7C7-38EE7FF0689D}" name="Table_37" displayName="Table_37" ref="A31:D34">
  <tableColumns count="4">
    <tableColumn id="1" xr3:uid="{F725A912-65F8-422C-A02F-A2597877CE41}" name="No."/>
    <tableColumn id="2" xr3:uid="{5E9B990B-062A-4108-8E44-61FD0658367E}" name="Pregunta"/>
    <tableColumn id="3" xr3:uid="{41EC053D-B1BC-46AD-B517-797C180E4563}" name="SI"/>
    <tableColumn id="4" xr3:uid="{1E0388BD-90B7-4826-AB15-BBB95D706928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0D5E08-CFF6-4779-AF9A-7139BA5A4A22}" name="Table_18" displayName="Table_18" ref="A7:D16">
  <tableColumns count="4">
    <tableColumn id="1" xr3:uid="{A161174E-675E-4026-A6D8-A1B3904A9E3B}" name="No."/>
    <tableColumn id="2" xr3:uid="{74696EC4-132C-418A-BA4B-BDF40470D206}" name="Pregunta"/>
    <tableColumn id="3" xr3:uid="{1A8C7963-22E4-42C5-8FDC-DF0A5C2EBD3D}" name="SI"/>
    <tableColumn id="4" xr3:uid="{02885FF1-20D0-423D-B033-6F8C0D003091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4BA10-59DA-4367-A37B-1DDD95B7BF35}" name="Table_29" displayName="Table_29" ref="A21:D26">
  <tableColumns count="4">
    <tableColumn id="1" xr3:uid="{EA48E048-9F71-4216-9E7F-FAD1C621AF63}" name="No."/>
    <tableColumn id="2" xr3:uid="{B1C2D53C-3A4C-4A04-9647-65FD6F24359A}" name="Pregunta"/>
    <tableColumn id="3" xr3:uid="{E8B33536-C7AC-4A4F-A2AC-944F10CEE53D}" name="SI"/>
    <tableColumn id="4" xr3:uid="{AE8390A1-E3CA-4FDA-8AD0-F90B718CFF9E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942D51-8CD6-4296-8F77-4B6B654FCDCF}" name="Table_310" displayName="Table_310" ref="A31:D34">
  <tableColumns count="4">
    <tableColumn id="1" xr3:uid="{9390E503-4AA6-405B-8A55-0191DB9BA8C7}" name="No."/>
    <tableColumn id="2" xr3:uid="{2E414922-535B-4C37-8FDF-EF4A10A55DB8}" name="Pregunta"/>
    <tableColumn id="3" xr3:uid="{F1E2F5CD-4C4C-47D3-82DC-96610A7486DF}" name="SI"/>
    <tableColumn id="4" xr3:uid="{BEB9BE44-3E2A-4F26-BD23-13F706B1593D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showGridLines="0" tabSelected="1" topLeftCell="A11" workbookViewId="0">
      <selection activeCell="N15" sqref="N15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9.85546875" customWidth="1"/>
    <col min="8" max="8" width="39.5703125" customWidth="1"/>
    <col min="9" max="9" width="9.85546875" customWidth="1"/>
    <col min="10" max="10" width="39.5703125" customWidth="1"/>
    <col min="11" max="24" width="11.42578125" customWidth="1"/>
  </cols>
  <sheetData>
    <row r="1" spans="2:10" ht="14.25" customHeight="1">
      <c r="C1" s="1"/>
    </row>
    <row r="2" spans="2:10" ht="14.25" customHeight="1">
      <c r="C2" s="1"/>
    </row>
    <row r="3" spans="2:10" ht="30" customHeight="1">
      <c r="C3" s="47" t="s">
        <v>0</v>
      </c>
      <c r="D3" s="62"/>
      <c r="E3" s="62"/>
      <c r="F3" s="62"/>
      <c r="G3" s="62"/>
      <c r="H3" s="62"/>
    </row>
    <row r="4" spans="2:10" ht="30" customHeight="1">
      <c r="C4" s="62"/>
      <c r="D4" s="62"/>
      <c r="E4" s="62"/>
      <c r="F4" s="62"/>
      <c r="G4" s="62"/>
      <c r="H4" s="62"/>
    </row>
    <row r="5" spans="2:10" ht="30" customHeight="1">
      <c r="C5" s="2"/>
      <c r="D5" s="3" t="s">
        <v>1</v>
      </c>
      <c r="E5" s="48" t="s">
        <v>2</v>
      </c>
      <c r="F5" s="62"/>
      <c r="G5" s="62"/>
      <c r="H5" s="62"/>
    </row>
    <row r="6" spans="2:10" ht="55.5" customHeight="1">
      <c r="C6" s="1"/>
      <c r="F6" s="49" t="s">
        <v>3</v>
      </c>
      <c r="G6" s="50"/>
      <c r="H6" s="50"/>
      <c r="I6" s="50"/>
      <c r="J6" s="50"/>
    </row>
    <row r="7" spans="2:10" ht="45" customHeight="1">
      <c r="B7" s="46" t="s">
        <v>4</v>
      </c>
      <c r="C7" s="51" t="s">
        <v>5</v>
      </c>
      <c r="D7" s="63"/>
      <c r="E7" s="45" t="s">
        <v>6</v>
      </c>
      <c r="F7" s="46" t="s">
        <v>7</v>
      </c>
      <c r="G7" s="45"/>
      <c r="H7" s="46" t="s">
        <v>8</v>
      </c>
      <c r="I7" s="45"/>
      <c r="J7" s="46" t="s">
        <v>9</v>
      </c>
    </row>
    <row r="8" spans="2:10" ht="60" customHeight="1">
      <c r="B8" s="64"/>
      <c r="C8" s="65"/>
      <c r="D8" s="66"/>
      <c r="E8" s="64"/>
      <c r="F8" s="64"/>
      <c r="G8" s="64"/>
      <c r="H8" s="64"/>
      <c r="I8" s="64"/>
      <c r="J8" s="64"/>
    </row>
    <row r="9" spans="2:10" ht="48.75">
      <c r="B9" s="4">
        <v>1</v>
      </c>
      <c r="C9" s="52" t="s">
        <v>10</v>
      </c>
      <c r="D9" s="67"/>
      <c r="E9" s="5" t="s">
        <v>11</v>
      </c>
      <c r="F9" s="6" t="s">
        <v>12</v>
      </c>
      <c r="G9" s="5" t="s">
        <v>11</v>
      </c>
      <c r="H9" s="6" t="s">
        <v>12</v>
      </c>
      <c r="I9" s="5" t="s">
        <v>11</v>
      </c>
      <c r="J9" s="6" t="s">
        <v>12</v>
      </c>
    </row>
    <row r="10" spans="2:10" ht="48.75">
      <c r="B10" s="4">
        <v>2</v>
      </c>
      <c r="C10" s="52" t="s">
        <v>13</v>
      </c>
      <c r="D10" s="67"/>
      <c r="E10" s="5" t="s">
        <v>11</v>
      </c>
      <c r="F10" s="8" t="s">
        <v>14</v>
      </c>
      <c r="G10" s="5" t="s">
        <v>11</v>
      </c>
      <c r="H10" s="8" t="s">
        <v>15</v>
      </c>
      <c r="I10" s="5" t="s">
        <v>11</v>
      </c>
      <c r="J10" s="8" t="s">
        <v>16</v>
      </c>
    </row>
    <row r="11" spans="2:10" ht="48.75">
      <c r="B11" s="4">
        <v>3</v>
      </c>
      <c r="C11" s="52" t="s">
        <v>17</v>
      </c>
      <c r="D11" s="67"/>
      <c r="E11" s="5" t="s">
        <v>11</v>
      </c>
      <c r="F11" s="8" t="s">
        <v>18</v>
      </c>
      <c r="G11" s="5" t="s">
        <v>11</v>
      </c>
      <c r="H11" s="8" t="s">
        <v>18</v>
      </c>
      <c r="I11" s="5" t="s">
        <v>11</v>
      </c>
      <c r="J11" s="8" t="s">
        <v>18</v>
      </c>
    </row>
    <row r="12" spans="2:10" ht="32.25">
      <c r="B12" s="4">
        <v>4</v>
      </c>
      <c r="C12" s="52" t="s">
        <v>19</v>
      </c>
      <c r="D12" s="67"/>
      <c r="E12" s="10" t="s">
        <v>20</v>
      </c>
      <c r="F12" s="9" t="s">
        <v>21</v>
      </c>
      <c r="G12" s="10" t="s">
        <v>20</v>
      </c>
      <c r="H12" s="9" t="s">
        <v>21</v>
      </c>
      <c r="I12" s="10" t="s">
        <v>20</v>
      </c>
      <c r="J12" s="9" t="s">
        <v>21</v>
      </c>
    </row>
    <row r="13" spans="2:10" ht="64.5">
      <c r="B13" s="4">
        <v>5</v>
      </c>
      <c r="C13" s="52" t="s">
        <v>22</v>
      </c>
      <c r="D13" s="67"/>
      <c r="E13" s="5" t="s">
        <v>11</v>
      </c>
      <c r="F13" s="9" t="s">
        <v>23</v>
      </c>
      <c r="G13" s="5" t="s">
        <v>11</v>
      </c>
      <c r="H13" s="9" t="s">
        <v>23</v>
      </c>
      <c r="I13" s="5" t="s">
        <v>11</v>
      </c>
      <c r="J13" s="9" t="s">
        <v>23</v>
      </c>
    </row>
    <row r="14" spans="2:10" ht="48.75">
      <c r="B14" s="4">
        <v>6</v>
      </c>
      <c r="C14" s="52" t="s">
        <v>24</v>
      </c>
      <c r="D14" s="67"/>
      <c r="E14" s="5" t="s">
        <v>11</v>
      </c>
      <c r="F14" s="9" t="s">
        <v>25</v>
      </c>
      <c r="G14" s="5" t="s">
        <v>11</v>
      </c>
      <c r="H14" s="9" t="s">
        <v>25</v>
      </c>
      <c r="I14" s="5" t="s">
        <v>11</v>
      </c>
      <c r="J14" s="9" t="s">
        <v>25</v>
      </c>
    </row>
    <row r="15" spans="2:10" ht="32.25">
      <c r="B15" s="4">
        <v>7</v>
      </c>
      <c r="C15" s="52" t="s">
        <v>26</v>
      </c>
      <c r="D15" s="67"/>
      <c r="E15" s="10" t="s">
        <v>20</v>
      </c>
      <c r="F15" s="9" t="s">
        <v>27</v>
      </c>
      <c r="G15" s="10" t="s">
        <v>20</v>
      </c>
      <c r="H15" s="9" t="s">
        <v>28</v>
      </c>
      <c r="I15" s="10" t="s">
        <v>20</v>
      </c>
      <c r="J15" s="9" t="s">
        <v>28</v>
      </c>
    </row>
    <row r="16" spans="2:10" ht="64.5">
      <c r="B16" s="4">
        <v>8</v>
      </c>
      <c r="C16" s="52" t="s">
        <v>29</v>
      </c>
      <c r="D16" s="67"/>
      <c r="E16" s="10" t="s">
        <v>20</v>
      </c>
      <c r="F16" s="9" t="s">
        <v>30</v>
      </c>
      <c r="G16" s="10" t="s">
        <v>20</v>
      </c>
      <c r="H16" s="9" t="s">
        <v>30</v>
      </c>
      <c r="I16" s="10" t="s">
        <v>20</v>
      </c>
      <c r="J16" s="9" t="s">
        <v>30</v>
      </c>
    </row>
    <row r="17" spans="2:10" ht="81">
      <c r="B17" s="4">
        <v>9</v>
      </c>
      <c r="C17" s="52" t="s">
        <v>31</v>
      </c>
      <c r="D17" s="67"/>
      <c r="E17" s="40" t="s">
        <v>11</v>
      </c>
      <c r="F17" s="11" t="s">
        <v>32</v>
      </c>
      <c r="G17" s="40" t="s">
        <v>11</v>
      </c>
      <c r="H17" s="11" t="s">
        <v>32</v>
      </c>
      <c r="I17" s="5" t="s">
        <v>11</v>
      </c>
      <c r="J17" s="11" t="s">
        <v>32</v>
      </c>
    </row>
    <row r="18" spans="2:10" ht="96.75">
      <c r="B18" s="4">
        <v>10</v>
      </c>
      <c r="C18" s="52" t="s">
        <v>33</v>
      </c>
      <c r="D18" s="67"/>
      <c r="E18" s="5" t="s">
        <v>11</v>
      </c>
      <c r="F18" s="9" t="s">
        <v>34</v>
      </c>
      <c r="G18" s="5" t="s">
        <v>11</v>
      </c>
      <c r="H18" s="9" t="s">
        <v>34</v>
      </c>
      <c r="I18" s="5" t="s">
        <v>11</v>
      </c>
      <c r="J18" s="9" t="s">
        <v>34</v>
      </c>
    </row>
    <row r="19" spans="2:10" ht="32.25">
      <c r="B19" s="4">
        <v>11</v>
      </c>
      <c r="C19" s="52" t="s">
        <v>35</v>
      </c>
      <c r="D19" s="67"/>
      <c r="E19" s="5" t="s">
        <v>11</v>
      </c>
      <c r="F19" s="9" t="s">
        <v>36</v>
      </c>
      <c r="G19" s="5" t="s">
        <v>11</v>
      </c>
      <c r="H19" s="9" t="s">
        <v>36</v>
      </c>
      <c r="I19" s="5" t="s">
        <v>11</v>
      </c>
      <c r="J19" s="9" t="s">
        <v>36</v>
      </c>
    </row>
    <row r="20" spans="2:10" ht="14.25" customHeight="1">
      <c r="C20" s="1"/>
    </row>
    <row r="21" spans="2:10" ht="14.25" customHeight="1">
      <c r="C21" s="1"/>
    </row>
    <row r="22" spans="2:10" ht="14.25" customHeight="1">
      <c r="C22" s="1"/>
    </row>
    <row r="23" spans="2:10" ht="14.25" customHeight="1">
      <c r="C23" s="1"/>
    </row>
    <row r="24" spans="2:10" ht="14.25" customHeight="1">
      <c r="C24" s="1"/>
    </row>
    <row r="25" spans="2:10" ht="14.25" customHeight="1">
      <c r="C25" s="1"/>
    </row>
    <row r="26" spans="2:10" ht="14.25" customHeight="1">
      <c r="C26" s="1"/>
    </row>
    <row r="27" spans="2:10" ht="14.25" customHeight="1">
      <c r="C27" s="1"/>
    </row>
    <row r="28" spans="2:10" ht="14.25" customHeight="1">
      <c r="C28" s="1"/>
    </row>
    <row r="29" spans="2:10" ht="14.25" customHeight="1">
      <c r="C29" s="1"/>
    </row>
    <row r="30" spans="2:10" ht="14.25" customHeight="1">
      <c r="C30" s="1"/>
    </row>
    <row r="31" spans="2:10" ht="14.25" customHeight="1">
      <c r="C31" s="1"/>
    </row>
    <row r="32" spans="2:10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H7:H8"/>
    <mergeCell ref="C3:H4"/>
    <mergeCell ref="E5:H5"/>
    <mergeCell ref="F6:J6"/>
    <mergeCell ref="I7:I8"/>
    <mergeCell ref="J7:J8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10" sqref="G10"/>
    </sheetView>
  </sheetViews>
  <sheetFormatPr defaultColWidth="14.42578125" defaultRowHeight="15" customHeight="1"/>
  <cols>
    <col min="1" max="1" width="10.7109375" customWidth="1"/>
    <col min="2" max="2" width="38.7109375" bestFit="1" customWidth="1"/>
    <col min="3" max="3" width="16.140625" customWidth="1"/>
    <col min="4" max="4" width="6.140625" bestFit="1" customWidth="1"/>
    <col min="5" max="26" width="10.7109375" customWidth="1"/>
  </cols>
  <sheetData>
    <row r="1" spans="1:26" ht="18.75">
      <c r="A1" s="12"/>
      <c r="B1" s="13" t="s">
        <v>1</v>
      </c>
      <c r="C1" s="56" t="s">
        <v>37</v>
      </c>
      <c r="D1" s="6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>
      <c r="B2" s="14" t="s">
        <v>38</v>
      </c>
      <c r="C2" s="57">
        <v>46126</v>
      </c>
      <c r="D2" s="62"/>
    </row>
    <row r="3" spans="1:26" ht="14.25" customHeight="1">
      <c r="B3" s="14" t="s">
        <v>39</v>
      </c>
      <c r="C3" s="53" t="s">
        <v>40</v>
      </c>
      <c r="D3" s="53"/>
      <c r="E3" s="53"/>
      <c r="F3" s="53"/>
      <c r="G3" s="53"/>
      <c r="H3" s="53"/>
      <c r="I3" s="28"/>
      <c r="J3" s="28"/>
      <c r="K3" s="28"/>
      <c r="L3" s="28"/>
    </row>
    <row r="4" spans="1:26" ht="14.25" customHeight="1">
      <c r="B4" s="14" t="s">
        <v>41</v>
      </c>
      <c r="C4" s="53" t="s">
        <v>42</v>
      </c>
      <c r="D4" s="53"/>
      <c r="E4" s="53"/>
      <c r="F4" s="53"/>
      <c r="G4" s="53"/>
    </row>
    <row r="5" spans="1:26" ht="14.25" customHeight="1"/>
    <row r="6" spans="1:26" ht="14.25" customHeight="1">
      <c r="A6" s="58" t="s">
        <v>43</v>
      </c>
      <c r="B6" s="62"/>
      <c r="C6" s="62"/>
      <c r="D6" s="62"/>
    </row>
    <row r="7" spans="1:26" ht="15" customHeight="1">
      <c r="A7" s="15" t="s">
        <v>44</v>
      </c>
      <c r="B7" s="16" t="s">
        <v>45</v>
      </c>
      <c r="C7" s="16" t="s">
        <v>46</v>
      </c>
      <c r="D7" s="17" t="s">
        <v>47</v>
      </c>
    </row>
    <row r="8" spans="1:26" ht="30.75">
      <c r="A8" s="29">
        <v>1</v>
      </c>
      <c r="B8" s="18" t="s">
        <v>48</v>
      </c>
      <c r="C8" s="19" t="s">
        <v>49</v>
      </c>
      <c r="D8" s="30"/>
    </row>
    <row r="9" spans="1:26" ht="30.75">
      <c r="A9" s="29">
        <v>2</v>
      </c>
      <c r="B9" s="18" t="s">
        <v>50</v>
      </c>
      <c r="C9" s="19" t="s">
        <v>49</v>
      </c>
      <c r="D9" s="30"/>
    </row>
    <row r="10" spans="1:26" ht="60.75">
      <c r="A10" s="29">
        <v>3</v>
      </c>
      <c r="B10" s="18" t="s">
        <v>51</v>
      </c>
      <c r="C10" s="19"/>
      <c r="D10" s="30" t="s">
        <v>49</v>
      </c>
    </row>
    <row r="11" spans="1:26" ht="30.75">
      <c r="A11" s="29">
        <v>4</v>
      </c>
      <c r="B11" s="18" t="s">
        <v>52</v>
      </c>
      <c r="C11" s="19" t="s">
        <v>49</v>
      </c>
      <c r="D11" s="30"/>
    </row>
    <row r="12" spans="1:26" ht="30.75">
      <c r="A12" s="29">
        <v>5</v>
      </c>
      <c r="B12" s="18" t="s">
        <v>53</v>
      </c>
      <c r="C12" s="19" t="s">
        <v>49</v>
      </c>
      <c r="D12" s="30"/>
    </row>
    <row r="13" spans="1:26" ht="30.75">
      <c r="A13" s="29">
        <v>6</v>
      </c>
      <c r="B13" s="18" t="s">
        <v>54</v>
      </c>
      <c r="C13" s="19" t="s">
        <v>49</v>
      </c>
      <c r="D13" s="30"/>
    </row>
    <row r="14" spans="1:26" ht="30.75">
      <c r="A14" s="29">
        <v>7</v>
      </c>
      <c r="B14" s="18" t="s">
        <v>55</v>
      </c>
      <c r="C14" s="19" t="s">
        <v>49</v>
      </c>
      <c r="D14" s="30"/>
    </row>
    <row r="15" spans="1:26" ht="45.75">
      <c r="A15" s="29">
        <v>8</v>
      </c>
      <c r="B15" s="18" t="s">
        <v>56</v>
      </c>
      <c r="C15" s="19" t="s">
        <v>49</v>
      </c>
      <c r="D15" s="30"/>
    </row>
    <row r="16" spans="1:26" ht="60.75">
      <c r="A16" s="20">
        <v>9</v>
      </c>
      <c r="B16" s="21" t="s">
        <v>57</v>
      </c>
      <c r="C16" s="22"/>
      <c r="D16" s="22" t="s">
        <v>49</v>
      </c>
    </row>
    <row r="17" spans="1:4" ht="14.25" customHeight="1">
      <c r="A17" s="54" t="s">
        <v>58</v>
      </c>
      <c r="B17" s="62"/>
      <c r="C17" s="24">
        <f>COUNTA('MODELOLISTADECOMPROBACION-CU0-0'!$C$8:$C$16)</f>
        <v>7</v>
      </c>
      <c r="D17" s="24">
        <f>COUNTA('MODELOLISTADECOMPROBACION-CU0-0'!$D$8:$D$16)</f>
        <v>2</v>
      </c>
    </row>
    <row r="18" spans="1:4" ht="14.25" customHeight="1">
      <c r="A18" s="54" t="s">
        <v>59</v>
      </c>
      <c r="B18" s="62"/>
      <c r="C18" s="25">
        <f t="shared" ref="C18:D18" si="0">C17/9</f>
        <v>0.77777777777777779</v>
      </c>
      <c r="D18" s="25">
        <f t="shared" si="0"/>
        <v>0.22222222222222221</v>
      </c>
    </row>
    <row r="19" spans="1:4" ht="14.25" customHeight="1">
      <c r="A19" s="23"/>
      <c r="B19" s="23"/>
      <c r="C19" s="25"/>
      <c r="D19" s="24"/>
    </row>
    <row r="20" spans="1:4" ht="14.25" customHeight="1">
      <c r="A20" s="59" t="s">
        <v>60</v>
      </c>
      <c r="B20" s="68"/>
      <c r="C20" s="68"/>
      <c r="D20" s="68"/>
    </row>
    <row r="21" spans="1:4" ht="14.25" customHeight="1">
      <c r="A21" s="31" t="s">
        <v>44</v>
      </c>
      <c r="B21" s="32" t="s">
        <v>45</v>
      </c>
      <c r="C21" s="33" t="s">
        <v>46</v>
      </c>
      <c r="D21" s="34" t="s">
        <v>47</v>
      </c>
    </row>
    <row r="22" spans="1:4" ht="30.75">
      <c r="A22" s="29">
        <v>1</v>
      </c>
      <c r="B22" s="18" t="s">
        <v>61</v>
      </c>
      <c r="C22" s="22" t="s">
        <v>49</v>
      </c>
      <c r="D22" s="30"/>
    </row>
    <row r="23" spans="1:4" ht="30.75">
      <c r="A23" s="29">
        <v>2</v>
      </c>
      <c r="B23" s="18" t="s">
        <v>62</v>
      </c>
      <c r="C23" s="22" t="s">
        <v>49</v>
      </c>
      <c r="D23" s="30"/>
    </row>
    <row r="24" spans="1:4" ht="30.75">
      <c r="A24" s="29">
        <v>3</v>
      </c>
      <c r="B24" s="18" t="s">
        <v>63</v>
      </c>
      <c r="C24" s="22" t="s">
        <v>49</v>
      </c>
      <c r="D24" s="30"/>
    </row>
    <row r="25" spans="1:4" ht="30.75">
      <c r="A25" s="29">
        <v>4</v>
      </c>
      <c r="B25" s="18" t="s">
        <v>64</v>
      </c>
      <c r="C25" s="22" t="s">
        <v>49</v>
      </c>
      <c r="D25" s="30"/>
    </row>
    <row r="26" spans="1:4" ht="30.75">
      <c r="A26" s="20">
        <v>5</v>
      </c>
      <c r="B26" s="21" t="s">
        <v>65</v>
      </c>
      <c r="C26" s="22" t="s">
        <v>49</v>
      </c>
      <c r="D26" s="26"/>
    </row>
    <row r="27" spans="1:4" ht="14.25" customHeight="1">
      <c r="A27" s="54" t="s">
        <v>58</v>
      </c>
      <c r="B27" s="62"/>
      <c r="C27" s="24">
        <f>COUNTA('MODELOLISTADECOMPROBACION-CU0-0'!$C$22:$C$26)</f>
        <v>5</v>
      </c>
      <c r="D27" s="24">
        <f>COUNTA('MODELOLISTADECOMPROBACION-CU0-0'!$D$22:$D$26)</f>
        <v>0</v>
      </c>
    </row>
    <row r="28" spans="1:4" ht="14.25" customHeight="1">
      <c r="A28" s="54" t="s">
        <v>59</v>
      </c>
      <c r="B28" s="62"/>
      <c r="C28" s="25">
        <f t="shared" ref="C28:D28" si="1">C27/5</f>
        <v>1</v>
      </c>
      <c r="D28" s="25">
        <f t="shared" si="1"/>
        <v>0</v>
      </c>
    </row>
    <row r="29" spans="1:4" ht="14.25" customHeight="1">
      <c r="A29" s="23"/>
      <c r="B29" s="23"/>
      <c r="C29" s="25"/>
      <c r="D29" s="24"/>
    </row>
    <row r="30" spans="1:4" ht="14.25" customHeight="1">
      <c r="A30" s="58" t="s">
        <v>66</v>
      </c>
      <c r="B30" s="62"/>
      <c r="C30" s="62"/>
      <c r="D30" s="62"/>
    </row>
    <row r="31" spans="1:4" ht="14.25" customHeight="1">
      <c r="A31" s="31" t="s">
        <v>44</v>
      </c>
      <c r="B31" s="32" t="s">
        <v>45</v>
      </c>
      <c r="C31" s="33" t="s">
        <v>46</v>
      </c>
      <c r="D31" s="34" t="s">
        <v>47</v>
      </c>
    </row>
    <row r="32" spans="1:4" ht="30.75">
      <c r="A32" s="29">
        <v>1</v>
      </c>
      <c r="B32" s="18" t="s">
        <v>67</v>
      </c>
      <c r="C32" s="22" t="s">
        <v>49</v>
      </c>
      <c r="D32" s="22"/>
    </row>
    <row r="33" spans="1:4" ht="45.75">
      <c r="A33" s="29">
        <v>2</v>
      </c>
      <c r="B33" s="18" t="s">
        <v>68</v>
      </c>
      <c r="C33" s="22"/>
      <c r="D33" s="22" t="s">
        <v>49</v>
      </c>
    </row>
    <row r="34" spans="1:4" ht="45.75">
      <c r="A34" s="20">
        <v>3</v>
      </c>
      <c r="B34" s="21" t="s">
        <v>69</v>
      </c>
      <c r="C34" s="22" t="s">
        <v>49</v>
      </c>
      <c r="D34" s="22"/>
    </row>
    <row r="35" spans="1:4" ht="14.25" customHeight="1">
      <c r="A35" s="54" t="s">
        <v>58</v>
      </c>
      <c r="B35" s="62"/>
      <c r="C35" s="7">
        <f>COUNTA('MODELOLISTADECOMPROBACION-CU0-0'!$C$32:$C$34)</f>
        <v>2</v>
      </c>
      <c r="D35" s="7">
        <f>COUNTA('MODELOLISTADECOMPROBACION-CU0-0'!$D$32:$D$34)</f>
        <v>1</v>
      </c>
    </row>
    <row r="36" spans="1:4" ht="14.25" customHeight="1">
      <c r="A36" s="54" t="s">
        <v>59</v>
      </c>
      <c r="B36" s="62"/>
      <c r="C36" s="25">
        <f t="shared" ref="C36:D36" si="2">C35/3</f>
        <v>0.66666666666666663</v>
      </c>
      <c r="D36" s="25">
        <f t="shared" si="2"/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A40" s="55" t="s">
        <v>70</v>
      </c>
      <c r="B40" s="62"/>
      <c r="C40" s="62"/>
    </row>
    <row r="41" spans="1:4" ht="30" customHeight="1">
      <c r="B41" s="12" t="s">
        <v>71</v>
      </c>
      <c r="C41" s="24">
        <v>78</v>
      </c>
    </row>
    <row r="42" spans="1:4" ht="30" customHeight="1">
      <c r="B42" s="12" t="s">
        <v>60</v>
      </c>
      <c r="C42" s="24">
        <v>100</v>
      </c>
    </row>
    <row r="43" spans="1:4" ht="30" customHeight="1">
      <c r="B43" s="12" t="s">
        <v>66</v>
      </c>
      <c r="C43" s="24">
        <v>67</v>
      </c>
    </row>
    <row r="44" spans="1:4" ht="14.25" customHeight="1">
      <c r="C44" s="24"/>
    </row>
    <row r="45" spans="1:4" ht="14.25" customHeight="1">
      <c r="C45" s="24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4:G4"/>
    <mergeCell ref="A36:B36"/>
    <mergeCell ref="A40:C40"/>
    <mergeCell ref="C1:D1"/>
    <mergeCell ref="C2:D2"/>
    <mergeCell ref="A6:D6"/>
    <mergeCell ref="A17:B17"/>
    <mergeCell ref="A20:D20"/>
    <mergeCell ref="A18:B18"/>
    <mergeCell ref="A27:B27"/>
    <mergeCell ref="A28:B28"/>
    <mergeCell ref="A30:D30"/>
    <mergeCell ref="A35:B35"/>
    <mergeCell ref="C3:H3"/>
  </mergeCells>
  <conditionalFormatting sqref="A32:D34">
    <cfRule type="containsText" dxfId="26" priority="1" operator="containsText" text="X">
      <formula>NOT(ISERROR(SEARCH(("X"),(A32))))</formula>
    </cfRule>
  </conditionalFormatting>
  <conditionalFormatting sqref="C8:D16 C22:C26 C32:D34">
    <cfRule type="containsText" dxfId="25" priority="2" operator="containsText" text="X">
      <formula>NOT(ISERROR(SEARCH(("X"),(C8))))</formula>
    </cfRule>
  </conditionalFormatting>
  <conditionalFormatting sqref="C8:D16 C22:C26 C32:D34">
    <cfRule type="containsText" dxfId="24" priority="3" operator="containsText" text="X">
      <formula>NOT(ISERROR(SEARCH(("X"),(C8))))</formula>
    </cfRule>
  </conditionalFormatting>
  <conditionalFormatting sqref="C8:D16 C22:C26 C32:D34">
    <cfRule type="containsText" dxfId="23" priority="4" operator="containsText" text="X">
      <formula>NOT(ISERROR(SEARCH(("X"),(C8))))</formula>
    </cfRule>
  </conditionalFormatting>
  <conditionalFormatting sqref="C8:D16 C22:C26 C32:D34">
    <cfRule type="containsText" dxfId="22" priority="5" operator="containsText" text="X">
      <formula>NOT(ISERROR(SEARCH(("X"),(C8))))</formula>
    </cfRule>
  </conditionalFormatting>
  <conditionalFormatting sqref="C22:D26">
    <cfRule type="containsText" dxfId="21" priority="6" operator="containsText" text="X">
      <formula>NOT(ISERROR(SEARCH(("X"),(C22))))</formula>
    </cfRule>
  </conditionalFormatting>
  <conditionalFormatting sqref="C22:D26">
    <cfRule type="containsText" dxfId="20" priority="7" operator="containsText" text="X">
      <formula>NOT(ISERROR(SEARCH(("X"),(C22))))</formula>
    </cfRule>
  </conditionalFormatting>
  <conditionalFormatting sqref="C32:D34">
    <cfRule type="containsText" dxfId="19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BAB9-9AD6-41AD-ACF1-762C7E6CCC17}">
  <dimension ref="A1:Z1000"/>
  <sheetViews>
    <sheetView workbookViewId="0">
      <selection activeCell="F8" sqref="F7:F8"/>
    </sheetView>
  </sheetViews>
  <sheetFormatPr defaultColWidth="14.42578125" defaultRowHeight="15" customHeight="1"/>
  <cols>
    <col min="1" max="1" width="10.7109375" customWidth="1"/>
    <col min="2" max="2" width="38.7109375" bestFit="1" customWidth="1"/>
    <col min="3" max="3" width="16.140625" customWidth="1"/>
    <col min="4" max="4" width="6.140625" bestFit="1" customWidth="1"/>
    <col min="5" max="26" width="10.7109375" customWidth="1"/>
  </cols>
  <sheetData>
    <row r="1" spans="1:26" ht="18.75">
      <c r="A1" s="12"/>
      <c r="B1" s="13" t="s">
        <v>1</v>
      </c>
      <c r="C1" s="56" t="s">
        <v>37</v>
      </c>
      <c r="D1" s="6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>
      <c r="B2" s="14" t="s">
        <v>38</v>
      </c>
      <c r="C2" s="57">
        <v>46126</v>
      </c>
      <c r="D2" s="62"/>
    </row>
    <row r="3" spans="1:26" ht="14.25" customHeight="1">
      <c r="B3" s="14" t="s">
        <v>39</v>
      </c>
      <c r="C3" s="53" t="s">
        <v>72</v>
      </c>
      <c r="D3" s="53"/>
      <c r="E3" s="53"/>
      <c r="F3" s="53"/>
      <c r="G3" s="53"/>
      <c r="H3" s="53"/>
      <c r="I3" s="28"/>
      <c r="J3" s="28"/>
      <c r="K3" s="28"/>
      <c r="L3" s="28"/>
    </row>
    <row r="4" spans="1:26" ht="14.25" customHeight="1">
      <c r="B4" s="14" t="s">
        <v>41</v>
      </c>
      <c r="C4" s="53" t="s">
        <v>8</v>
      </c>
      <c r="D4" s="53"/>
      <c r="E4" s="53"/>
      <c r="F4" s="53"/>
      <c r="G4" s="53"/>
    </row>
    <row r="5" spans="1:26" ht="14.25" customHeight="1"/>
    <row r="6" spans="1:26" ht="14.25" customHeight="1">
      <c r="A6" s="58" t="s">
        <v>43</v>
      </c>
      <c r="B6" s="62"/>
      <c r="C6" s="62"/>
      <c r="D6" s="62"/>
    </row>
    <row r="7" spans="1:26" ht="15" customHeight="1">
      <c r="A7" s="15" t="s">
        <v>44</v>
      </c>
      <c r="B7" s="16" t="s">
        <v>45</v>
      </c>
      <c r="C7" s="16" t="s">
        <v>46</v>
      </c>
      <c r="D7" s="17" t="s">
        <v>47</v>
      </c>
    </row>
    <row r="8" spans="1:26" ht="30.75">
      <c r="A8" s="29">
        <v>1</v>
      </c>
      <c r="B8" s="18" t="s">
        <v>48</v>
      </c>
      <c r="C8" s="19" t="s">
        <v>49</v>
      </c>
      <c r="D8" s="30"/>
    </row>
    <row r="9" spans="1:26" ht="30.75">
      <c r="A9" s="29">
        <v>2</v>
      </c>
      <c r="B9" s="18" t="s">
        <v>50</v>
      </c>
      <c r="C9" s="19" t="s">
        <v>49</v>
      </c>
      <c r="D9" s="30"/>
    </row>
    <row r="10" spans="1:26" ht="60.75">
      <c r="A10" s="29">
        <v>3</v>
      </c>
      <c r="B10" s="18" t="s">
        <v>51</v>
      </c>
      <c r="D10" s="19" t="s">
        <v>49</v>
      </c>
    </row>
    <row r="11" spans="1:26" ht="30.75">
      <c r="A11" s="29">
        <v>4</v>
      </c>
      <c r="B11" s="18" t="s">
        <v>52</v>
      </c>
      <c r="C11" s="19" t="s">
        <v>49</v>
      </c>
      <c r="D11" s="30"/>
    </row>
    <row r="12" spans="1:26" ht="30.75">
      <c r="A12" s="29">
        <v>5</v>
      </c>
      <c r="B12" s="18" t="s">
        <v>53</v>
      </c>
      <c r="C12" s="19" t="s">
        <v>49</v>
      </c>
      <c r="D12" s="30"/>
    </row>
    <row r="13" spans="1:26" ht="30.75">
      <c r="A13" s="29">
        <v>6</v>
      </c>
      <c r="B13" s="18" t="s">
        <v>54</v>
      </c>
      <c r="C13" s="19" t="s">
        <v>49</v>
      </c>
      <c r="D13" s="30"/>
    </row>
    <row r="14" spans="1:26" ht="30.75">
      <c r="A14" s="29">
        <v>7</v>
      </c>
      <c r="B14" s="18" t="s">
        <v>55</v>
      </c>
      <c r="C14" s="19" t="s">
        <v>49</v>
      </c>
      <c r="D14" s="30"/>
    </row>
    <row r="15" spans="1:26" ht="45.75">
      <c r="A15" s="29">
        <v>8</v>
      </c>
      <c r="B15" s="18" t="s">
        <v>56</v>
      </c>
      <c r="C15" s="19" t="s">
        <v>49</v>
      </c>
      <c r="D15" s="30"/>
    </row>
    <row r="16" spans="1:26" ht="60.75">
      <c r="A16" s="20">
        <v>9</v>
      </c>
      <c r="B16" s="21" t="s">
        <v>57</v>
      </c>
      <c r="C16" s="22"/>
      <c r="D16" s="22" t="s">
        <v>49</v>
      </c>
    </row>
    <row r="17" spans="1:4" ht="14.25" customHeight="1">
      <c r="A17" s="54" t="s">
        <v>58</v>
      </c>
      <c r="B17" s="62"/>
      <c r="C17" s="24">
        <f>COUNTA('MODELOLISTADECOMPROBACION-CU0-1'!$C$8:$C$16)</f>
        <v>7</v>
      </c>
      <c r="D17" s="24">
        <f>COUNTA('MODELOLISTADECOMPROBACION-CU0-1'!$D$8:$D$16)</f>
        <v>2</v>
      </c>
    </row>
    <row r="18" spans="1:4" ht="14.25" customHeight="1">
      <c r="A18" s="54" t="s">
        <v>59</v>
      </c>
      <c r="B18" s="62"/>
      <c r="C18" s="25">
        <f>C17/9</f>
        <v>0.77777777777777779</v>
      </c>
      <c r="D18" s="25">
        <f>D17/9</f>
        <v>0.22222222222222221</v>
      </c>
    </row>
    <row r="19" spans="1:4" ht="14.25" customHeight="1">
      <c r="A19" s="23"/>
      <c r="B19" s="23"/>
      <c r="C19" s="25"/>
      <c r="D19" s="24"/>
    </row>
    <row r="20" spans="1:4" ht="14.25" customHeight="1">
      <c r="A20" s="59" t="s">
        <v>60</v>
      </c>
      <c r="B20" s="68"/>
      <c r="C20" s="68"/>
      <c r="D20" s="68"/>
    </row>
    <row r="21" spans="1:4" ht="14.25" customHeight="1">
      <c r="A21" s="31" t="s">
        <v>44</v>
      </c>
      <c r="B21" s="32" t="s">
        <v>45</v>
      </c>
      <c r="C21" s="33" t="s">
        <v>46</v>
      </c>
      <c r="D21" s="34" t="s">
        <v>47</v>
      </c>
    </row>
    <row r="22" spans="1:4" ht="30.75">
      <c r="A22" s="29">
        <v>1</v>
      </c>
      <c r="B22" s="18" t="s">
        <v>61</v>
      </c>
      <c r="C22" s="22" t="s">
        <v>49</v>
      </c>
      <c r="D22" s="30"/>
    </row>
    <row r="23" spans="1:4" ht="30.75">
      <c r="A23" s="29">
        <v>2</v>
      </c>
      <c r="B23" s="18" t="s">
        <v>62</v>
      </c>
      <c r="C23" s="22" t="s">
        <v>49</v>
      </c>
      <c r="D23" s="30"/>
    </row>
    <row r="24" spans="1:4" ht="30.75">
      <c r="A24" s="29">
        <v>3</v>
      </c>
      <c r="B24" s="18" t="s">
        <v>63</v>
      </c>
      <c r="C24" s="22" t="s">
        <v>49</v>
      </c>
      <c r="D24" s="30"/>
    </row>
    <row r="25" spans="1:4" ht="30.75">
      <c r="A25" s="29">
        <v>4</v>
      </c>
      <c r="B25" s="18" t="s">
        <v>64</v>
      </c>
      <c r="C25" s="22" t="s">
        <v>49</v>
      </c>
      <c r="D25" s="30"/>
    </row>
    <row r="26" spans="1:4" ht="30.75">
      <c r="A26" s="20">
        <v>5</v>
      </c>
      <c r="B26" s="21" t="s">
        <v>65</v>
      </c>
      <c r="C26" s="22" t="s">
        <v>49</v>
      </c>
      <c r="D26" s="26"/>
    </row>
    <row r="27" spans="1:4" ht="14.25" customHeight="1">
      <c r="A27" s="54" t="s">
        <v>58</v>
      </c>
      <c r="B27" s="62"/>
      <c r="C27" s="24">
        <f>COUNTA('MODELOLISTADECOMPROBACION-CU0-1'!$C$22:$C$26)</f>
        <v>5</v>
      </c>
      <c r="D27" s="24">
        <f>COUNTA('MODELOLISTADECOMPROBACION-CU0-1'!$D$22:$D$26)</f>
        <v>0</v>
      </c>
    </row>
    <row r="28" spans="1:4" ht="14.25" customHeight="1">
      <c r="A28" s="54" t="s">
        <v>59</v>
      </c>
      <c r="B28" s="62"/>
      <c r="C28" s="25">
        <f>C27/5</f>
        <v>1</v>
      </c>
      <c r="D28" s="25">
        <f>D27/5</f>
        <v>0</v>
      </c>
    </row>
    <row r="29" spans="1:4" ht="14.25" customHeight="1">
      <c r="A29" s="23"/>
      <c r="B29" s="23"/>
      <c r="C29" s="25"/>
      <c r="D29" s="24"/>
    </row>
    <row r="30" spans="1:4" ht="14.25" customHeight="1">
      <c r="A30" s="58" t="s">
        <v>66</v>
      </c>
      <c r="B30" s="62"/>
      <c r="C30" s="62"/>
      <c r="D30" s="62"/>
    </row>
    <row r="31" spans="1:4" ht="14.25" customHeight="1">
      <c r="A31" s="31" t="s">
        <v>44</v>
      </c>
      <c r="B31" s="32" t="s">
        <v>45</v>
      </c>
      <c r="C31" s="33" t="s">
        <v>46</v>
      </c>
      <c r="D31" s="34" t="s">
        <v>47</v>
      </c>
    </row>
    <row r="32" spans="1:4" ht="30.75">
      <c r="A32" s="29">
        <v>1</v>
      </c>
      <c r="B32" s="18" t="s">
        <v>67</v>
      </c>
      <c r="C32" s="22" t="s">
        <v>49</v>
      </c>
      <c r="D32" s="22"/>
    </row>
    <row r="33" spans="1:4" ht="45.75">
      <c r="A33" s="29">
        <v>2</v>
      </c>
      <c r="B33" s="18" t="s">
        <v>68</v>
      </c>
      <c r="C33" s="22"/>
      <c r="D33" s="22" t="s">
        <v>49</v>
      </c>
    </row>
    <row r="34" spans="1:4" ht="45.75">
      <c r="A34" s="20">
        <v>3</v>
      </c>
      <c r="B34" s="21" t="s">
        <v>69</v>
      </c>
      <c r="C34" s="35" t="s">
        <v>49</v>
      </c>
    </row>
    <row r="35" spans="1:4" ht="14.25" customHeight="1">
      <c r="A35" s="54" t="s">
        <v>58</v>
      </c>
      <c r="B35" s="62"/>
      <c r="C35">
        <f>COUNTA('MODELOLISTADECOMPROBACION-CU0-1'!$C$32:$C$34)</f>
        <v>2</v>
      </c>
      <c r="D35">
        <f>COUNTA('MODELOLISTADECOMPROBACION-CU0-1'!$D$32:$D$34)</f>
        <v>1</v>
      </c>
    </row>
    <row r="36" spans="1:4" ht="14.25" customHeight="1">
      <c r="A36" s="54" t="s">
        <v>59</v>
      </c>
      <c r="B36" s="62"/>
      <c r="C36" s="25">
        <f>C35/3</f>
        <v>0.66666666666666663</v>
      </c>
      <c r="D36" s="36">
        <f>D35/3</f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A40" s="55" t="s">
        <v>70</v>
      </c>
      <c r="B40" s="62"/>
      <c r="C40" s="62"/>
    </row>
    <row r="41" spans="1:4" ht="30" customHeight="1">
      <c r="B41" s="12" t="s">
        <v>71</v>
      </c>
      <c r="C41" s="24">
        <v>78</v>
      </c>
    </row>
    <row r="42" spans="1:4" ht="30" customHeight="1">
      <c r="B42" s="12" t="s">
        <v>60</v>
      </c>
      <c r="C42" s="24">
        <v>100</v>
      </c>
    </row>
    <row r="43" spans="1:4" ht="30" customHeight="1">
      <c r="B43" s="12" t="s">
        <v>66</v>
      </c>
      <c r="C43" s="24">
        <v>67</v>
      </c>
    </row>
    <row r="44" spans="1:4" ht="14.25" customHeight="1">
      <c r="C44" s="24"/>
    </row>
    <row r="45" spans="1:4" ht="14.25" customHeight="1">
      <c r="C45" s="24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7:B17"/>
    <mergeCell ref="C1:D1"/>
    <mergeCell ref="C2:D2"/>
    <mergeCell ref="C3:H3"/>
    <mergeCell ref="C4:G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2 A33:C34">
    <cfRule type="containsText" dxfId="18" priority="6" operator="containsText" text="X">
      <formula>NOT(ISERROR(SEARCH(("X"),(A32))))</formula>
    </cfRule>
  </conditionalFormatting>
  <conditionalFormatting sqref="C22:C26 C8:D9 C11:D16 D10 C32:D32 C33:C34">
    <cfRule type="containsText" dxfId="17" priority="7" operator="containsText" text="X">
      <formula>NOT(ISERROR(SEARCH(("X"),(C8))))</formula>
    </cfRule>
  </conditionalFormatting>
  <conditionalFormatting sqref="C22:C26 C8:D9 C11:D16 D10 C32:D32 C33:C34">
    <cfRule type="containsText" dxfId="16" priority="8" operator="containsText" text="X">
      <formula>NOT(ISERROR(SEARCH(("X"),(C8))))</formula>
    </cfRule>
  </conditionalFormatting>
  <conditionalFormatting sqref="C22:C26 C8:D9 C11:D16 D10 C32:D32 C33:C34">
    <cfRule type="containsText" dxfId="15" priority="9" operator="containsText" text="X">
      <formula>NOT(ISERROR(SEARCH(("X"),(C8))))</formula>
    </cfRule>
  </conditionalFormatting>
  <conditionalFormatting sqref="C22:C26 C8:D9 C11:D16 D10 C32:D32 C33:C34">
    <cfRule type="containsText" dxfId="14" priority="10" operator="containsText" text="X">
      <formula>NOT(ISERROR(SEARCH(("X"),(C8))))</formula>
    </cfRule>
  </conditionalFormatting>
  <conditionalFormatting sqref="C22:D26">
    <cfRule type="containsText" dxfId="13" priority="11" operator="containsText" text="X">
      <formula>NOT(ISERROR(SEARCH(("X"),(C22))))</formula>
    </cfRule>
  </conditionalFormatting>
  <conditionalFormatting sqref="C22:D26">
    <cfRule type="containsText" dxfId="12" priority="12" operator="containsText" text="X">
      <formula>NOT(ISERROR(SEARCH(("X"),(C22))))</formula>
    </cfRule>
  </conditionalFormatting>
  <conditionalFormatting sqref="D33">
    <cfRule type="containsText" dxfId="11" priority="1" operator="containsText" text="X">
      <formula>NOT(ISERROR(SEARCH(("X"),(D33))))</formula>
    </cfRule>
  </conditionalFormatting>
  <conditionalFormatting sqref="D33">
    <cfRule type="containsText" dxfId="10" priority="2" operator="containsText" text="X">
      <formula>NOT(ISERROR(SEARCH(("X"),(D33))))</formula>
    </cfRule>
  </conditionalFormatting>
  <conditionalFormatting sqref="D33">
    <cfRule type="containsText" dxfId="9" priority="3" operator="containsText" text="X">
      <formula>NOT(ISERROR(SEARCH(("X"),(D33))))</formula>
    </cfRule>
  </conditionalFormatting>
  <conditionalFormatting sqref="D33">
    <cfRule type="containsText" dxfId="8" priority="4" operator="containsText" text="X">
      <formula>NOT(ISERROR(SEARCH(("X"),(D33))))</formula>
    </cfRule>
  </conditionalFormatting>
  <conditionalFormatting sqref="D33">
    <cfRule type="containsText" dxfId="7" priority="5" operator="containsText" text="X">
      <formula>NOT(ISERROR(SEARCH(("X"),(D33))))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3F1F-014F-482A-8BE7-C1143529725A}">
  <dimension ref="A1:Z1000"/>
  <sheetViews>
    <sheetView topLeftCell="A14" workbookViewId="0">
      <selection activeCell="G27" sqref="G27"/>
    </sheetView>
  </sheetViews>
  <sheetFormatPr defaultColWidth="14.42578125" defaultRowHeight="15" customHeight="1"/>
  <cols>
    <col min="1" max="1" width="10.7109375" customWidth="1"/>
    <col min="2" max="2" width="38.7109375" bestFit="1" customWidth="1"/>
    <col min="3" max="3" width="16.140625" customWidth="1"/>
    <col min="4" max="4" width="9.28515625" customWidth="1"/>
    <col min="5" max="26" width="10.7109375" customWidth="1"/>
  </cols>
  <sheetData>
    <row r="1" spans="1:26" ht="18.75">
      <c r="A1" s="12"/>
      <c r="B1" s="13" t="s">
        <v>1</v>
      </c>
      <c r="C1" s="56" t="s">
        <v>37</v>
      </c>
      <c r="D1" s="6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>
      <c r="B2" s="14" t="s">
        <v>38</v>
      </c>
      <c r="C2" s="57">
        <v>46126</v>
      </c>
      <c r="D2" s="62"/>
    </row>
    <row r="3" spans="1:26" ht="14.25" customHeight="1">
      <c r="B3" s="14" t="s">
        <v>39</v>
      </c>
      <c r="C3" s="53" t="s">
        <v>73</v>
      </c>
      <c r="D3" s="53"/>
      <c r="E3" s="53"/>
      <c r="F3" s="53"/>
      <c r="G3" s="53"/>
      <c r="H3" s="53"/>
      <c r="I3" s="28"/>
      <c r="J3" s="28"/>
      <c r="K3" s="28"/>
      <c r="L3" s="28"/>
    </row>
    <row r="4" spans="1:26" ht="14.25" customHeight="1">
      <c r="B4" s="14" t="s">
        <v>41</v>
      </c>
      <c r="C4" s="53" t="s">
        <v>9</v>
      </c>
      <c r="D4" s="53"/>
      <c r="E4" s="53"/>
      <c r="F4" s="53"/>
      <c r="G4" s="53"/>
    </row>
    <row r="5" spans="1:26" ht="14.25" customHeight="1"/>
    <row r="6" spans="1:26" ht="14.25" customHeight="1">
      <c r="A6" s="58" t="s">
        <v>43</v>
      </c>
      <c r="B6" s="62"/>
      <c r="C6" s="62"/>
      <c r="D6" s="62"/>
    </row>
    <row r="7" spans="1:26" ht="15" customHeight="1">
      <c r="A7" s="15" t="s">
        <v>44</v>
      </c>
      <c r="B7" s="16" t="s">
        <v>45</v>
      </c>
      <c r="C7" s="16" t="s">
        <v>46</v>
      </c>
      <c r="D7" s="17" t="s">
        <v>47</v>
      </c>
    </row>
    <row r="8" spans="1:26" ht="30.75">
      <c r="A8" s="29">
        <v>1</v>
      </c>
      <c r="B8" s="18" t="s">
        <v>48</v>
      </c>
      <c r="C8" s="19" t="s">
        <v>49</v>
      </c>
      <c r="D8" s="30"/>
    </row>
    <row r="9" spans="1:26" ht="30.75">
      <c r="A9" s="29">
        <v>2</v>
      </c>
      <c r="B9" s="18" t="s">
        <v>50</v>
      </c>
      <c r="C9" s="19" t="s">
        <v>49</v>
      </c>
      <c r="D9" s="26"/>
    </row>
    <row r="10" spans="1:26" ht="60.75">
      <c r="A10" s="29">
        <v>3</v>
      </c>
      <c r="B10" s="18" t="s">
        <v>51</v>
      </c>
      <c r="D10" s="30" t="s">
        <v>49</v>
      </c>
    </row>
    <row r="11" spans="1:26" ht="30.75">
      <c r="A11" s="29">
        <v>4</v>
      </c>
      <c r="B11" s="18" t="s">
        <v>52</v>
      </c>
      <c r="C11" s="19" t="s">
        <v>49</v>
      </c>
      <c r="D11" s="37"/>
    </row>
    <row r="12" spans="1:26" ht="30.75">
      <c r="A12" s="29">
        <v>5</v>
      </c>
      <c r="B12" s="18" t="s">
        <v>53</v>
      </c>
      <c r="C12" s="19" t="s">
        <v>49</v>
      </c>
      <c r="D12" s="30"/>
    </row>
    <row r="13" spans="1:26" ht="30.75">
      <c r="A13" s="29">
        <v>6</v>
      </c>
      <c r="B13" s="18" t="s">
        <v>54</v>
      </c>
      <c r="C13" s="19" t="s">
        <v>49</v>
      </c>
      <c r="D13" s="30"/>
    </row>
    <row r="14" spans="1:26" ht="30.75">
      <c r="A14" s="29">
        <v>7</v>
      </c>
      <c r="B14" s="18" t="s">
        <v>55</v>
      </c>
      <c r="C14" s="19" t="s">
        <v>49</v>
      </c>
      <c r="D14" s="30"/>
    </row>
    <row r="15" spans="1:26" ht="45.75">
      <c r="A15" s="29">
        <v>8</v>
      </c>
      <c r="B15" s="18" t="s">
        <v>56</v>
      </c>
      <c r="C15" s="19" t="s">
        <v>49</v>
      </c>
      <c r="D15" s="26"/>
    </row>
    <row r="16" spans="1:26" ht="60.75">
      <c r="A16" s="20">
        <v>9</v>
      </c>
      <c r="B16" s="21" t="s">
        <v>57</v>
      </c>
      <c r="C16" s="26"/>
      <c r="D16" s="26" t="s">
        <v>49</v>
      </c>
    </row>
    <row r="17" spans="1:4" ht="14.25" customHeight="1">
      <c r="A17" s="54" t="s">
        <v>58</v>
      </c>
      <c r="B17" s="62"/>
      <c r="C17" s="24">
        <f>COUNTA('MODELOLISTADECOMPROBACION-CU0-2'!$C$8:$C$16)</f>
        <v>7</v>
      </c>
      <c r="D17" s="24">
        <f>COUNTA('MODELOLISTADECOMPROBACION-CU0-2'!$D$8:$D$16)</f>
        <v>2</v>
      </c>
    </row>
    <row r="18" spans="1:4" ht="14.25" customHeight="1">
      <c r="A18" s="54" t="s">
        <v>59</v>
      </c>
      <c r="B18" s="62"/>
      <c r="C18" s="25">
        <f t="shared" ref="C18:D18" si="0">C17/9</f>
        <v>0.77777777777777779</v>
      </c>
      <c r="D18" s="25">
        <f t="shared" si="0"/>
        <v>0.22222222222222221</v>
      </c>
    </row>
    <row r="19" spans="1:4" ht="14.25" customHeight="1">
      <c r="A19" s="23"/>
      <c r="B19" s="23"/>
      <c r="C19" s="25"/>
      <c r="D19" s="24"/>
    </row>
    <row r="20" spans="1:4" ht="14.25" customHeight="1">
      <c r="A20" s="59" t="s">
        <v>60</v>
      </c>
      <c r="B20" s="68"/>
      <c r="C20" s="68"/>
      <c r="D20" s="68"/>
    </row>
    <row r="21" spans="1:4" ht="14.25" customHeight="1">
      <c r="A21" s="31" t="s">
        <v>44</v>
      </c>
      <c r="B21" s="32" t="s">
        <v>45</v>
      </c>
      <c r="C21" s="33" t="s">
        <v>46</v>
      </c>
      <c r="D21" s="34" t="s">
        <v>47</v>
      </c>
    </row>
    <row r="22" spans="1:4" ht="30.75">
      <c r="A22" s="29">
        <v>1</v>
      </c>
      <c r="B22" s="18" t="s">
        <v>61</v>
      </c>
      <c r="C22" s="22" t="s">
        <v>49</v>
      </c>
      <c r="D22" s="30"/>
    </row>
    <row r="23" spans="1:4" ht="30.75">
      <c r="A23" s="29">
        <v>2</v>
      </c>
      <c r="B23" s="18" t="s">
        <v>62</v>
      </c>
      <c r="C23" s="22" t="s">
        <v>49</v>
      </c>
      <c r="D23" s="30"/>
    </row>
    <row r="24" spans="1:4" ht="30.75">
      <c r="A24" s="29">
        <v>3</v>
      </c>
      <c r="B24" s="18" t="s">
        <v>63</v>
      </c>
      <c r="C24" s="22" t="s">
        <v>49</v>
      </c>
      <c r="D24" s="30"/>
    </row>
    <row r="25" spans="1:4" ht="30.75">
      <c r="A25" s="29">
        <v>4</v>
      </c>
      <c r="B25" s="18" t="s">
        <v>64</v>
      </c>
      <c r="C25" s="22" t="s">
        <v>49</v>
      </c>
      <c r="D25" s="30"/>
    </row>
    <row r="26" spans="1:4" ht="30.75">
      <c r="A26" s="20">
        <v>5</v>
      </c>
      <c r="B26" s="21" t="s">
        <v>65</v>
      </c>
      <c r="C26" s="22" t="s">
        <v>49</v>
      </c>
      <c r="D26" s="26"/>
    </row>
    <row r="27" spans="1:4" ht="14.25" customHeight="1">
      <c r="A27" s="54" t="s">
        <v>58</v>
      </c>
      <c r="B27" s="62"/>
      <c r="C27" s="24">
        <f>COUNTA('MODELOLISTADECOMPROBACION-CU0-2'!$C$22:$C$26)</f>
        <v>5</v>
      </c>
      <c r="D27" s="24">
        <f>COUNTA('MODELOLISTADECOMPROBACION-CU0-2'!$D$22:$D$26)</f>
        <v>0</v>
      </c>
    </row>
    <row r="28" spans="1:4" ht="14.25" customHeight="1">
      <c r="A28" s="54" t="s">
        <v>59</v>
      </c>
      <c r="B28" s="62"/>
      <c r="C28" s="25">
        <f t="shared" ref="C28:D28" si="1">C27/5</f>
        <v>1</v>
      </c>
      <c r="D28" s="25">
        <f t="shared" si="1"/>
        <v>0</v>
      </c>
    </row>
    <row r="29" spans="1:4" ht="14.25" customHeight="1">
      <c r="A29" s="23"/>
      <c r="B29" s="23"/>
      <c r="C29" s="25"/>
      <c r="D29" s="24"/>
    </row>
    <row r="30" spans="1:4" ht="14.25" customHeight="1">
      <c r="A30" s="58" t="s">
        <v>66</v>
      </c>
      <c r="B30" s="62"/>
      <c r="C30" s="62"/>
      <c r="D30" s="62"/>
    </row>
    <row r="31" spans="1:4" ht="14.25" customHeight="1">
      <c r="A31" s="31" t="s">
        <v>44</v>
      </c>
      <c r="B31" s="32" t="s">
        <v>45</v>
      </c>
      <c r="C31" s="33" t="s">
        <v>46</v>
      </c>
      <c r="D31" s="38" t="s">
        <v>47</v>
      </c>
    </row>
    <row r="32" spans="1:4" ht="30.75">
      <c r="A32" s="29">
        <v>1</v>
      </c>
      <c r="B32" s="18" t="s">
        <v>67</v>
      </c>
      <c r="C32" s="26" t="s">
        <v>49</v>
      </c>
      <c r="D32" s="26"/>
    </row>
    <row r="33" spans="1:4" ht="45.75">
      <c r="A33" s="29">
        <v>2</v>
      </c>
      <c r="B33" s="18" t="s">
        <v>68</v>
      </c>
      <c r="C33" s="26"/>
      <c r="D33" s="30" t="s">
        <v>49</v>
      </c>
    </row>
    <row r="34" spans="1:4" ht="45.75">
      <c r="A34" s="20">
        <v>3</v>
      </c>
      <c r="B34" s="21" t="s">
        <v>69</v>
      </c>
      <c r="C34" s="26" t="s">
        <v>49</v>
      </c>
      <c r="D34" s="39"/>
    </row>
    <row r="35" spans="1:4" ht="14.25" customHeight="1">
      <c r="A35" s="54" t="s">
        <v>58</v>
      </c>
      <c r="B35" s="62"/>
      <c r="C35" s="7">
        <f>COUNTA('MODELOLISTADECOMPROBACION-CU0-2'!$C$32:$C$34)</f>
        <v>2</v>
      </c>
      <c r="D35" s="7">
        <f>COUNTA('MODELOLISTADECOMPROBACION-CU0-2'!$D$32:$D$34)</f>
        <v>1</v>
      </c>
    </row>
    <row r="36" spans="1:4" ht="14.25" customHeight="1">
      <c r="A36" s="54" t="s">
        <v>59</v>
      </c>
      <c r="B36" s="62"/>
      <c r="C36" s="25">
        <f t="shared" ref="C36:D36" si="2">C35/3</f>
        <v>0.66666666666666663</v>
      </c>
      <c r="D36" s="25">
        <f t="shared" si="2"/>
        <v>0.33333333333333331</v>
      </c>
    </row>
    <row r="37" spans="1:4" ht="14.25" customHeight="1"/>
    <row r="38" spans="1:4" ht="14.25" customHeight="1"/>
    <row r="39" spans="1:4" ht="14.25" customHeight="1"/>
    <row r="40" spans="1:4" ht="14.25" customHeight="1">
      <c r="A40" s="55" t="s">
        <v>70</v>
      </c>
      <c r="B40" s="62"/>
      <c r="C40" s="62"/>
    </row>
    <row r="41" spans="1:4" ht="30" customHeight="1">
      <c r="B41" s="12" t="s">
        <v>71</v>
      </c>
      <c r="C41" s="24">
        <v>78</v>
      </c>
    </row>
    <row r="42" spans="1:4" ht="30" customHeight="1">
      <c r="B42" s="12" t="s">
        <v>60</v>
      </c>
      <c r="C42" s="24">
        <v>100</v>
      </c>
    </row>
    <row r="43" spans="1:4" ht="30" customHeight="1">
      <c r="B43" s="12" t="s">
        <v>66</v>
      </c>
      <c r="C43" s="24">
        <v>67</v>
      </c>
    </row>
    <row r="44" spans="1:4" ht="14.25" customHeight="1">
      <c r="C44" s="24"/>
    </row>
    <row r="45" spans="1:4" ht="14.25" customHeight="1">
      <c r="C45" s="24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7:B17"/>
    <mergeCell ref="C1:D1"/>
    <mergeCell ref="C2:D2"/>
    <mergeCell ref="C3:H3"/>
    <mergeCell ref="C4:G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4:C34 A32:D33">
    <cfRule type="containsText" dxfId="6" priority="1" operator="containsText" text="X">
      <formula>NOT(ISERROR(SEARCH(("X"),(A32))))</formula>
    </cfRule>
  </conditionalFormatting>
  <conditionalFormatting sqref="C22:C26 C8:D9 C11:D16 D10 C32:D32 D33 C33:C34">
    <cfRule type="containsText" dxfId="5" priority="2" operator="containsText" text="X">
      <formula>NOT(ISERROR(SEARCH(("X"),(C8))))</formula>
    </cfRule>
  </conditionalFormatting>
  <conditionalFormatting sqref="C22:C26 C8:D9 C11:D16 D10 C32:D32 D33 C33:C34">
    <cfRule type="containsText" dxfId="4" priority="3" operator="containsText" text="X">
      <formula>NOT(ISERROR(SEARCH(("X"),(C8))))</formula>
    </cfRule>
  </conditionalFormatting>
  <conditionalFormatting sqref="C22:C26 C8:D9 C11:D16 D10 C32:D32 D33 C33:C34">
    <cfRule type="containsText" dxfId="3" priority="4" operator="containsText" text="X">
      <formula>NOT(ISERROR(SEARCH(("X"),(C8))))</formula>
    </cfRule>
  </conditionalFormatting>
  <conditionalFormatting sqref="C22:C26 C8:D9 C11:D16 D10 C32:D32 D33 C33:C34">
    <cfRule type="containsText" dxfId="2" priority="5" operator="containsText" text="X">
      <formula>NOT(ISERROR(SEARCH(("X"),(C8))))</formula>
    </cfRule>
  </conditionalFormatting>
  <conditionalFormatting sqref="C22:D26">
    <cfRule type="containsText" dxfId="1" priority="6" operator="containsText" text="X">
      <formula>NOT(ISERROR(SEARCH(("X"),(C22))))</formula>
    </cfRule>
  </conditionalFormatting>
  <conditionalFormatting sqref="C22:D26">
    <cfRule type="containsText" dxfId="0" priority="7" operator="containsText" text="X">
      <formula>NOT(ISERROR(SEARCH(("X"),(C22))))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7"/>
  <sheetViews>
    <sheetView workbookViewId="0">
      <selection activeCell="A2" sqref="A2"/>
    </sheetView>
  </sheetViews>
  <sheetFormatPr defaultColWidth="14.42578125" defaultRowHeight="15" customHeight="1"/>
  <cols>
    <col min="1" max="1" width="62" customWidth="1"/>
    <col min="2" max="2" width="75.85546875" customWidth="1"/>
    <col min="3" max="26" width="10.7109375" customWidth="1"/>
  </cols>
  <sheetData>
    <row r="1" spans="1:2" ht="14.25" customHeight="1">
      <c r="A1" s="27" t="s">
        <v>74</v>
      </c>
      <c r="B1" s="61" t="s">
        <v>75</v>
      </c>
    </row>
    <row r="2" spans="1:2" ht="60.75">
      <c r="A2" s="60" t="s">
        <v>76</v>
      </c>
      <c r="B2" s="42" t="s">
        <v>77</v>
      </c>
    </row>
    <row r="3" spans="1:2" ht="60.75">
      <c r="A3" s="43" t="s">
        <v>78</v>
      </c>
      <c r="B3" s="44" t="s">
        <v>79</v>
      </c>
    </row>
    <row r="4" spans="1:2" s="41" customFormat="1" ht="60.75" customHeight="1">
      <c r="A4" s="42" t="s">
        <v>80</v>
      </c>
      <c r="B4" s="44" t="s">
        <v>81</v>
      </c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2026-04-14T13:46:44Z</dcterms:created>
  <dcterms:modified xsi:type="dcterms:W3CDTF">2026-04-14T20:48:21Z</dcterms:modified>
  <cp:category/>
  <cp:contentStatus/>
</cp:coreProperties>
</file>