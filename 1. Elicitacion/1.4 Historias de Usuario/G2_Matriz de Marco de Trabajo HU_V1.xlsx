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<sst xmlns="http://schemas.openxmlformats.org/spreadsheetml/2006/main" count="77" uniqueCount="64">
  <si>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</si>
  <si>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</si>
  <si>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</si>
  <si>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</si>
  <si>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</si>
  <si>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</si>
  <si>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</si>
  <si>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</si>
  <si>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</si>
  <si>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</si>
  <si>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</si>
  <si>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</si>
  <si>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</si>
  <si>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</si>
  <si>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</si>
  <si>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</si>
  <si>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Validar credenciales de administrador </t>
  </si>
  <si>
    <t>El programa deberá tener una interfaz gráfica donde el administrador ingrese y valide sus credenciales.</t>
  </si>
  <si>
    <t>Para garantizar que el sistema y la información guardada dentro de él pueda ser vista solo por el Administrador .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</si>
  <si>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</si>
  <si>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</si>
  <si>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</si>
  <si>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En proceso</t>
  </si>
  <si>
    <t xml:space="preserve">El usuario ingresará al sistema mediante un usuario y contraseña previamente creados. Si el usuario ingresa erróneamente su nombre o contraseña, debe volver a intentarlo y a su vez se visualizará un mensaje que dirá "usuario o contraseña no válido". Después de 3 intentos de inicio de sesión consecutivos fallidos, se bloqueará el ingreso de credenciales por 5 minutos. </t>
  </si>
  <si>
    <t>Validación de credenciales.</t>
  </si>
  <si>
    <t>REQ002</t>
  </si>
  <si>
    <t>Tomar pedidos en mesa.</t>
  </si>
  <si>
    <t>El programa deberá tener una interfaz gráfica donde el mesero debe registrar las ordenes directamente de la mesa.</t>
  </si>
  <si>
    <t>Para generar pedidos con los platos deseados por el cliente de una mesa en el restaurante.</t>
  </si>
  <si>
    <t>Mesero</t>
  </si>
  <si>
    <t>Implementando una pestaña accesible sólo para el mesero mediante la cual podrá rellenar un formulario que incluye los platos solicitados por el cliente y enviarlo para que el pedido pueda ser preparado en la cocina</t>
  </si>
  <si>
    <t>El mesero seleccionará una mesa válida y registrará al menos un producto. El sistema generará un identificador único, asignará el estado "Pendiente" y mostrará el pedido en la pantalla de cocina. Si no existen productos registrados, el sistema mostrará un mensaje de error y no permitirá guardar el pedido.</t>
  </si>
  <si>
    <t>Registro de pedido en mesa.</t>
  </si>
  <si>
    <t>REQ003</t>
  </si>
  <si>
    <t>Tomar pedidos telefónicos.</t>
  </si>
  <si>
    <t>El programa deberá tener una interfaz grafica por la cual el Operador pueda registrar datos del cliente y de la orden solicitada.</t>
  </si>
  <si>
    <t>Para generar pedidos con los platos deseados por el cliente y su información de contacto mediante una llamada telefónica</t>
  </si>
  <si>
    <t>Operador de llamadas</t>
  </si>
  <si>
    <t>Implementando una pestaña accesible para el operador mediante la cual rellenará un formulario con los datos del pedido del cliente, la dirección de entrega e información de contacto, para que el pedido sea preparado y enviado</t>
  </si>
  <si>
    <t xml:space="preserve">Media </t>
  </si>
  <si>
    <t>El operador registrará al menos un producto en el pedido. El sistema generará un identificador único, asignará el estado "Pendiente" y mostrará el pedido en cocina. Si no se registran productos, el sistema mostrará un mensaje de validación y no permitirá continuar.</t>
  </si>
  <si>
    <t>Registro de pedido telefónico.</t>
  </si>
  <si>
    <t>REQ004</t>
  </si>
  <si>
    <t>Realizar pedidos por QR</t>
  </si>
  <si>
    <t xml:space="preserve">El programa deberá tener una interfaz gráfica donde el cliente pueda registrar una orden por cuenta propia. </t>
  </si>
  <si>
    <t>Para que el cliente genere pedidos por su propia cuenta mediante el qr presente en la mesa donde se encuentra</t>
  </si>
  <si>
    <t>Cliente</t>
  </si>
  <si>
    <t>Implementando una pestaña accesible mediante QR que identifique la mesa desde la que fue abierta y permita al cliente realizar un pedido por su propia cuenta</t>
  </si>
  <si>
    <t>El cliente escaneará un QR válido, visualizará el menú y registrará al menos un producto. El sistema asociará el pedido a la mesa correspondiente, generará un identificador único, asignará el estado "Pendiente" y enviará el pedido a cocina. Si el pedido está vacío, el sistema impedirá su confirmación.</t>
  </si>
  <si>
    <t>Pedido mediante código QR.</t>
  </si>
  <si>
    <t>.</t>
  </si>
  <si>
    <t>No iniciado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</si>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</sst>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yyyy\-mm\-dd"/>
  </numFmts>
  <fonts count="19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sz val="10.0"/>
      <color theme="1"/>
      <name val="Calibri"/>
    </font>
    <font>
      <b/>
      <sz val="11.0"/>
      <color rgb="FFFFFFFF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horizontal="center" readingOrder="0" shrinkToFit="0" vertical="center" wrapText="1"/>
    </xf>
    <xf borderId="4" fillId="3" fontId="5" numFmtId="49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3" fontId="5" numFmtId="165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vertical="center"/>
    </xf>
    <xf borderId="5" fillId="3" fontId="5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5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5" fillId="3" fontId="7" numFmtId="0" xfId="0" applyAlignment="1" applyBorder="1" applyFont="1">
      <alignment horizontal="left"/>
    </xf>
    <xf borderId="5" fillId="4" fontId="7" numFmtId="0" xfId="0" applyAlignment="1" applyBorder="1" applyFont="1">
      <alignment horizontal="left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6" fillId="5" fontId="11" numFmtId="0" xfId="0" applyBorder="1" applyFont="1"/>
    <xf borderId="7" fillId="5" fontId="8" numFmtId="0" xfId="0" applyAlignment="1" applyBorder="1" applyFont="1">
      <alignment horizontal="left" shrinkToFit="0" vertical="center" wrapText="1"/>
    </xf>
    <xf borderId="7" fillId="5" fontId="9" numFmtId="0" xfId="0" applyBorder="1" applyFont="1"/>
    <xf borderId="7" fillId="5" fontId="11" numFmtId="0" xfId="0" applyBorder="1" applyFont="1"/>
    <xf borderId="8" fillId="5" fontId="11" numFmtId="0" xfId="0" applyBorder="1" applyFont="1"/>
    <xf borderId="9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5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5" fillId="5" fontId="11" numFmtId="0" xfId="0" applyBorder="1" applyFont="1"/>
    <xf borderId="10" fillId="5" fontId="11" numFmtId="0" xfId="0" applyBorder="1" applyFont="1"/>
    <xf borderId="4" fillId="3" fontId="14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vertical="center"/>
    </xf>
    <xf borderId="5" fillId="5" fontId="14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11" fillId="7" fontId="12" numFmtId="0" xfId="0" applyAlignment="1" applyBorder="1" applyFill="1" applyFont="1">
      <alignment horizontal="center" vertical="center"/>
    </xf>
    <xf borderId="12" fillId="3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5" fillId="5" fontId="11" numFmtId="0" xfId="0" applyAlignment="1" applyBorder="1" applyFont="1">
      <alignment horizontal="center"/>
    </xf>
    <xf borderId="14" fillId="0" fontId="3" numFmtId="0" xfId="0" applyBorder="1" applyFont="1"/>
    <xf borderId="12" fillId="3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8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3" fontId="9" numFmtId="49" xfId="0" applyAlignment="1" applyBorder="1" applyFont="1" applyNumberFormat="1">
      <alignment horizontal="left" shrinkToFit="0" vertical="center" wrapText="1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0" fontId="1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0" fillId="0" fontId="9" numFmtId="49" xfId="0" applyAlignment="1" applyFont="1" applyNumberFormat="1">
      <alignment horizontal="left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7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15" numFmtId="0" xfId="0" applyAlignment="1" applyFont="1">
      <alignment horizontal="center"/>
    </xf>
    <xf borderId="0" fillId="0" fontId="16" numFmtId="49" xfId="0" applyAlignment="1" applyFont="1" applyNumberFormat="1">
      <alignment shrinkToFit="0" wrapText="1"/>
    </xf>
    <xf borderId="0" fillId="0" fontId="11" numFmtId="0" xfId="0" applyAlignment="1" applyFont="1">
      <alignment shrinkToFit="0" wrapText="1"/>
    </xf>
    <xf borderId="0" fillId="0" fontId="16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0" fillId="0" fontId="11" numFmtId="49" xfId="0" applyFont="1" applyNumberFormat="1"/>
    <xf borderId="0" fillId="0" fontId="9" numFmtId="49" xfId="0" applyAlignment="1" applyFont="1" applyNumberFormat="1">
      <alignment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10" t="s">
        <v>18</v>
      </c>
      <c r="F6" s="9" t="s">
        <v>19</v>
      </c>
      <c r="G6" s="9" t="s">
        <v>20</v>
      </c>
      <c r="H6" s="9"/>
      <c r="I6" s="10">
        <v>14.0</v>
      </c>
      <c r="J6" s="11">
        <v>46184.0</v>
      </c>
      <c r="K6" s="9" t="s">
        <v>21</v>
      </c>
      <c r="L6" s="10" t="s">
        <v>22</v>
      </c>
      <c r="M6" s="12" t="s">
        <v>23</v>
      </c>
      <c r="N6" s="9"/>
      <c r="O6" s="13" t="s">
        <v>24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4.5" customHeight="1">
      <c r="A7" s="8"/>
      <c r="B7" s="10" t="s">
        <v>25</v>
      </c>
      <c r="C7" s="10" t="s">
        <v>26</v>
      </c>
      <c r="D7" s="15" t="s">
        <v>27</v>
      </c>
      <c r="E7" s="10" t="s">
        <v>28</v>
      </c>
      <c r="F7" s="10" t="s">
        <v>29</v>
      </c>
      <c r="G7" s="15" t="s">
        <v>30</v>
      </c>
      <c r="H7" s="9"/>
      <c r="I7" s="10">
        <v>13.0</v>
      </c>
      <c r="J7" s="16">
        <v>46188.0</v>
      </c>
      <c r="K7" s="10" t="s">
        <v>21</v>
      </c>
      <c r="L7" s="10" t="s">
        <v>22</v>
      </c>
      <c r="M7" s="10" t="s">
        <v>31</v>
      </c>
      <c r="N7" s="9"/>
      <c r="O7" s="17" t="s">
        <v>32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10" t="s">
        <v>33</v>
      </c>
      <c r="C8" s="10" t="s">
        <v>34</v>
      </c>
      <c r="D8" s="15" t="s">
        <v>35</v>
      </c>
      <c r="E8" s="10" t="s">
        <v>36</v>
      </c>
      <c r="F8" s="10" t="s">
        <v>37</v>
      </c>
      <c r="G8" s="15" t="s">
        <v>38</v>
      </c>
      <c r="H8" s="9"/>
      <c r="I8" s="10">
        <v>12.0</v>
      </c>
      <c r="J8" s="16">
        <v>46192.0</v>
      </c>
      <c r="K8" s="10" t="s">
        <v>39</v>
      </c>
      <c r="L8" s="10" t="s">
        <v>22</v>
      </c>
      <c r="M8" s="10" t="s">
        <v>40</v>
      </c>
      <c r="N8" s="9"/>
      <c r="O8" s="17" t="s">
        <v>41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10" t="s">
        <v>42</v>
      </c>
      <c r="C9" s="10" t="s">
        <v>43</v>
      </c>
      <c r="D9" s="15" t="s">
        <v>44</v>
      </c>
      <c r="E9" s="10" t="s">
        <v>45</v>
      </c>
      <c r="F9" s="10" t="s">
        <v>46</v>
      </c>
      <c r="G9" s="15" t="s">
        <v>47</v>
      </c>
      <c r="H9" s="9"/>
      <c r="I9" s="10">
        <v>15.0</v>
      </c>
      <c r="J9" s="16">
        <v>46196.0</v>
      </c>
      <c r="K9" s="10" t="s">
        <v>39</v>
      </c>
      <c r="L9" s="10" t="s">
        <v>22</v>
      </c>
      <c r="M9" s="10" t="s">
        <v>48</v>
      </c>
      <c r="N9" s="9"/>
      <c r="O9" s="17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18"/>
      <c r="C13" s="19"/>
      <c r="D13" s="19"/>
      <c r="E13" s="8"/>
      <c r="F13" s="19"/>
      <c r="G13" s="19"/>
      <c r="H13" s="19"/>
      <c r="I13" s="20"/>
      <c r="J13" s="21"/>
      <c r="K13" s="20"/>
      <c r="L13" s="20"/>
      <c r="M13" s="19"/>
      <c r="N13" s="19"/>
      <c r="O13" s="2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8"/>
      <c r="B14" s="18"/>
      <c r="C14" s="19"/>
      <c r="D14" s="19"/>
      <c r="E14" s="19"/>
      <c r="F14" s="19"/>
      <c r="G14" s="19"/>
      <c r="H14" s="19"/>
      <c r="I14" s="20"/>
      <c r="J14" s="21"/>
      <c r="K14" s="20"/>
      <c r="L14" s="20"/>
      <c r="M14" s="19"/>
      <c r="N14" s="23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8"/>
      <c r="B15" s="18"/>
      <c r="C15" s="19"/>
      <c r="D15" s="19"/>
      <c r="E15" s="8"/>
      <c r="F15" s="19"/>
      <c r="G15" s="19"/>
      <c r="H15" s="19"/>
      <c r="I15" s="20"/>
      <c r="J15" s="21"/>
      <c r="K15" s="20"/>
      <c r="L15" s="20"/>
      <c r="M15" s="19"/>
      <c r="N15" s="19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8"/>
      <c r="B16" s="18"/>
      <c r="C16" s="19"/>
      <c r="D16" s="19"/>
      <c r="E16" s="19"/>
      <c r="F16" s="19"/>
      <c r="G16" s="19"/>
      <c r="H16" s="19"/>
      <c r="I16" s="20"/>
      <c r="J16" s="21"/>
      <c r="K16" s="20"/>
      <c r="L16" s="20"/>
      <c r="M16" s="23"/>
      <c r="N16" s="19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8"/>
      <c r="B17" s="18"/>
      <c r="C17" s="19"/>
      <c r="D17" s="19"/>
      <c r="E17" s="19"/>
      <c r="F17" s="19"/>
      <c r="G17" s="19"/>
      <c r="H17" s="19"/>
      <c r="I17" s="20"/>
      <c r="J17" s="21"/>
      <c r="K17" s="20"/>
      <c r="L17" s="20"/>
      <c r="M17" s="19" t="s">
        <v>50</v>
      </c>
      <c r="N17" s="19"/>
      <c r="O17" s="2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8"/>
      <c r="B18" s="8"/>
      <c r="C18" s="8"/>
      <c r="D18" s="8"/>
      <c r="E18" s="8"/>
      <c r="F18" s="8"/>
      <c r="G18" s="8"/>
      <c r="H18" s="8"/>
      <c r="I18" s="25"/>
      <c r="J18" s="25"/>
      <c r="K18" s="26"/>
      <c r="L18" s="25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8"/>
      <c r="B19" s="8"/>
      <c r="C19" s="8"/>
      <c r="D19" s="8"/>
      <c r="E19" s="8"/>
      <c r="F19" s="8"/>
      <c r="G19" s="8"/>
      <c r="H19" s="8"/>
      <c r="I19" s="25"/>
      <c r="J19" s="25"/>
      <c r="K19" s="26"/>
      <c r="L19" s="25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8"/>
      <c r="B20" s="8"/>
      <c r="C20" s="8"/>
      <c r="D20" s="8"/>
      <c r="E20" s="8"/>
      <c r="F20" s="8"/>
      <c r="G20" s="8"/>
      <c r="H20" s="23"/>
      <c r="I20" s="25"/>
      <c r="J20" s="25"/>
      <c r="K20" s="26"/>
      <c r="L20" s="25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8"/>
      <c r="B21" s="8"/>
      <c r="C21" s="8"/>
      <c r="D21" s="8"/>
      <c r="E21" s="8"/>
      <c r="F21" s="8"/>
      <c r="G21" s="8"/>
      <c r="H21" s="8"/>
      <c r="I21" s="25"/>
      <c r="J21" s="25"/>
      <c r="K21" s="26"/>
      <c r="L21" s="25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8"/>
      <c r="B22" s="8"/>
      <c r="C22" s="8"/>
      <c r="D22" s="8"/>
      <c r="E22" s="8"/>
      <c r="F22" s="8"/>
      <c r="G22" s="8"/>
      <c r="H22" s="8"/>
      <c r="I22" s="25"/>
      <c r="J22" s="25"/>
      <c r="K22" s="27"/>
      <c r="L22" s="25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/>
      <c r="B23" s="8"/>
      <c r="C23" s="8"/>
      <c r="D23" s="8"/>
      <c r="E23" s="8"/>
      <c r="F23" s="8"/>
      <c r="G23" s="8"/>
      <c r="H23" s="8"/>
      <c r="I23" s="25"/>
      <c r="J23" s="25"/>
      <c r="K23" s="27"/>
      <c r="L23" s="25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8"/>
      <c r="B24" s="8"/>
      <c r="C24" s="8"/>
      <c r="D24" s="8"/>
      <c r="E24" s="8"/>
      <c r="F24" s="8"/>
      <c r="G24" s="8"/>
      <c r="H24" s="8"/>
      <c r="I24" s="25"/>
      <c r="J24" s="25"/>
      <c r="K24" s="26"/>
      <c r="L24" s="25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8"/>
      <c r="B25" s="8"/>
      <c r="C25" s="8"/>
      <c r="D25" s="8"/>
      <c r="E25" s="8"/>
      <c r="F25" s="8"/>
      <c r="G25" s="8"/>
      <c r="H25" s="8"/>
      <c r="I25" s="25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8"/>
      <c r="B26" s="8"/>
      <c r="C26" s="8"/>
      <c r="D26" s="8"/>
      <c r="E26" s="8"/>
      <c r="F26" s="8"/>
      <c r="G26" s="8"/>
      <c r="H26" s="8"/>
      <c r="I26" s="25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8"/>
      <c r="B27" s="8"/>
      <c r="C27" s="8"/>
      <c r="D27" s="8"/>
      <c r="E27" s="8"/>
      <c r="F27" s="8"/>
      <c r="G27" s="8"/>
      <c r="H27" s="8"/>
      <c r="I27" s="25"/>
      <c r="J27" s="8"/>
      <c r="K27" s="26" t="s">
        <v>21</v>
      </c>
      <c r="L27" s="26" t="s">
        <v>51</v>
      </c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8"/>
      <c r="B28" s="8"/>
      <c r="C28" s="8"/>
      <c r="D28" s="8"/>
      <c r="E28" s="8"/>
      <c r="F28" s="8"/>
      <c r="G28" s="8"/>
      <c r="H28" s="8"/>
      <c r="I28" s="25"/>
      <c r="J28" s="8"/>
      <c r="K28" s="26" t="s">
        <v>39</v>
      </c>
      <c r="L28" s="26" t="s">
        <v>22</v>
      </c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8"/>
      <c r="B29" s="8"/>
      <c r="C29" s="8"/>
      <c r="D29" s="8"/>
      <c r="E29" s="8"/>
      <c r="F29" s="8"/>
      <c r="G29" s="8"/>
      <c r="H29" s="8"/>
      <c r="I29" s="25"/>
      <c r="J29" s="8"/>
      <c r="K29" s="26" t="s">
        <v>52</v>
      </c>
      <c r="L29" s="26" t="s">
        <v>53</v>
      </c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8"/>
      <c r="B30" s="8"/>
      <c r="C30" s="8"/>
      <c r="D30" s="8"/>
      <c r="E30" s="8"/>
      <c r="F30" s="8"/>
      <c r="G30" s="8"/>
      <c r="H30" s="8"/>
      <c r="I30" s="25"/>
      <c r="J30" s="8"/>
      <c r="K30" s="26"/>
      <c r="L30" s="26" t="s">
        <v>54</v>
      </c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B31" s="8"/>
      <c r="C31" s="8"/>
      <c r="D31" s="8"/>
      <c r="E31" s="8"/>
      <c r="F31" s="8"/>
      <c r="G31" s="8"/>
      <c r="H31" s="8"/>
      <c r="I31" s="25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B32" s="8"/>
      <c r="C32" s="8"/>
      <c r="D32" s="8"/>
      <c r="E32" s="8"/>
      <c r="F32" s="8"/>
      <c r="G32" s="8"/>
      <c r="H32" s="8"/>
      <c r="I32" s="25"/>
      <c r="J32" s="8"/>
      <c r="K32" s="8"/>
      <c r="L32" s="8"/>
      <c r="M32" s="8"/>
      <c r="N32" s="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25"/>
      <c r="J33" s="8"/>
      <c r="K33" s="8"/>
      <c r="L33" s="8"/>
      <c r="M33" s="8"/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25"/>
      <c r="J34" s="8"/>
      <c r="K34" s="8"/>
      <c r="L34" s="8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25"/>
      <c r="J35" s="25"/>
      <c r="K35" s="26"/>
      <c r="L35" s="25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5"/>
      <c r="J36" s="25"/>
      <c r="K36" s="26"/>
      <c r="L36" s="25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25"/>
      <c r="J37" s="25"/>
      <c r="K37" s="26"/>
      <c r="L37" s="25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25"/>
      <c r="J38" s="25"/>
      <c r="K38" s="26"/>
      <c r="L38" s="25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25"/>
      <c r="J39" s="25"/>
      <c r="K39" s="26"/>
      <c r="L39" s="25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25"/>
      <c r="J40" s="25"/>
      <c r="K40" s="26"/>
      <c r="L40" s="25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5"/>
      <c r="J41" s="25"/>
      <c r="K41" s="26"/>
      <c r="L41" s="25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25"/>
      <c r="J42" s="25"/>
      <c r="K42" s="26"/>
      <c r="L42" s="25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25"/>
      <c r="J43" s="25"/>
      <c r="K43" s="26"/>
      <c r="L43" s="25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25"/>
      <c r="J44" s="25"/>
      <c r="K44" s="26"/>
      <c r="L44" s="25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25"/>
      <c r="J45" s="25"/>
      <c r="K45" s="26"/>
      <c r="L45" s="25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25"/>
      <c r="J46" s="25"/>
      <c r="K46" s="26"/>
      <c r="L46" s="25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25"/>
      <c r="J47" s="25"/>
      <c r="K47" s="26"/>
      <c r="L47" s="25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25"/>
      <c r="J48" s="25"/>
      <c r="K48" s="26"/>
      <c r="L48" s="25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25"/>
      <c r="J49" s="25"/>
      <c r="K49" s="26"/>
      <c r="L49" s="25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25"/>
      <c r="J50" s="25"/>
      <c r="K50" s="26"/>
      <c r="L50" s="25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25"/>
      <c r="J51" s="25"/>
      <c r="K51" s="26"/>
      <c r="L51" s="25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25"/>
      <c r="J52" s="25"/>
      <c r="K52" s="26"/>
      <c r="L52" s="25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25"/>
      <c r="J53" s="25"/>
      <c r="K53" s="26"/>
      <c r="L53" s="25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25"/>
      <c r="J54" s="25"/>
      <c r="K54" s="26"/>
      <c r="L54" s="25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25"/>
      <c r="J55" s="25"/>
      <c r="K55" s="26"/>
      <c r="L55" s="25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25"/>
      <c r="J56" s="25"/>
      <c r="K56" s="26"/>
      <c r="L56" s="25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25"/>
      <c r="J57" s="25"/>
      <c r="K57" s="26"/>
      <c r="L57" s="25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25"/>
      <c r="J58" s="25"/>
      <c r="K58" s="26"/>
      <c r="L58" s="25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25"/>
      <c r="J59" s="25"/>
      <c r="K59" s="26"/>
      <c r="L59" s="25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25"/>
      <c r="J60" s="25"/>
      <c r="K60" s="26"/>
      <c r="L60" s="25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25"/>
      <c r="J61" s="25"/>
      <c r="K61" s="26"/>
      <c r="L61" s="25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25"/>
      <c r="J62" s="25"/>
      <c r="K62" s="26"/>
      <c r="L62" s="25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25"/>
      <c r="J63" s="25"/>
      <c r="K63" s="26"/>
      <c r="L63" s="25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25"/>
      <c r="J64" s="25"/>
      <c r="K64" s="26"/>
      <c r="L64" s="25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25"/>
      <c r="J65" s="25"/>
      <c r="K65" s="26"/>
      <c r="L65" s="25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25"/>
      <c r="J66" s="25"/>
      <c r="K66" s="26"/>
      <c r="L66" s="25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25"/>
      <c r="J67" s="25"/>
      <c r="K67" s="26"/>
      <c r="L67" s="25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25"/>
      <c r="J68" s="25"/>
      <c r="K68" s="26"/>
      <c r="L68" s="25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25"/>
      <c r="J69" s="25"/>
      <c r="K69" s="26"/>
      <c r="L69" s="25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25"/>
      <c r="J70" s="25"/>
      <c r="K70" s="26"/>
      <c r="L70" s="25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25"/>
      <c r="J71" s="25"/>
      <c r="K71" s="26"/>
      <c r="L71" s="25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25"/>
      <c r="J72" s="25"/>
      <c r="K72" s="26"/>
      <c r="L72" s="25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25"/>
      <c r="J73" s="25"/>
      <c r="K73" s="26"/>
      <c r="L73" s="25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25"/>
      <c r="J74" s="25"/>
      <c r="K74" s="26"/>
      <c r="L74" s="25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25"/>
      <c r="J75" s="25"/>
      <c r="K75" s="26"/>
      <c r="L75" s="25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25"/>
      <c r="J76" s="25"/>
      <c r="K76" s="26"/>
      <c r="L76" s="25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25"/>
      <c r="J77" s="25"/>
      <c r="K77" s="26"/>
      <c r="L77" s="25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25"/>
      <c r="J78" s="25"/>
      <c r="K78" s="26"/>
      <c r="L78" s="25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25"/>
      <c r="J79" s="25"/>
      <c r="K79" s="26"/>
      <c r="L79" s="25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25"/>
      <c r="J80" s="25"/>
      <c r="K80" s="26"/>
      <c r="L80" s="25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25"/>
      <c r="J81" s="25"/>
      <c r="K81" s="26"/>
      <c r="L81" s="25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25"/>
      <c r="J82" s="25"/>
      <c r="K82" s="26"/>
      <c r="L82" s="25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25"/>
      <c r="J83" s="25"/>
      <c r="K83" s="26"/>
      <c r="L83" s="25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25"/>
      <c r="J84" s="25"/>
      <c r="K84" s="26"/>
      <c r="L84" s="25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25"/>
      <c r="J85" s="25"/>
      <c r="K85" s="26"/>
      <c r="L85" s="25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25"/>
      <c r="J86" s="25"/>
      <c r="K86" s="26"/>
      <c r="L86" s="25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25"/>
      <c r="J87" s="25"/>
      <c r="K87" s="26"/>
      <c r="L87" s="25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25"/>
      <c r="J88" s="25"/>
      <c r="K88" s="26"/>
      <c r="L88" s="25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25"/>
      <c r="J89" s="25"/>
      <c r="K89" s="26"/>
      <c r="L89" s="25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25"/>
      <c r="J90" s="25"/>
      <c r="K90" s="26"/>
      <c r="L90" s="25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25"/>
      <c r="J91" s="25"/>
      <c r="K91" s="26"/>
      <c r="L91" s="25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25"/>
      <c r="J92" s="25"/>
      <c r="K92" s="26"/>
      <c r="L92" s="25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25"/>
      <c r="J93" s="25"/>
      <c r="K93" s="26"/>
      <c r="L93" s="25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25"/>
      <c r="J94" s="25"/>
      <c r="K94" s="26"/>
      <c r="L94" s="25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25"/>
      <c r="J95" s="25"/>
      <c r="K95" s="26"/>
      <c r="L95" s="25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5"/>
      <c r="J96" s="25"/>
      <c r="K96" s="26"/>
      <c r="L96" s="25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5"/>
      <c r="J97" s="25"/>
      <c r="K97" s="26"/>
      <c r="L97" s="25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5"/>
      <c r="J98" s="25"/>
      <c r="K98" s="26"/>
      <c r="L98" s="25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5"/>
      <c r="J99" s="25"/>
      <c r="K99" s="26"/>
      <c r="L99" s="25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5"/>
      <c r="J100" s="25"/>
      <c r="K100" s="26"/>
      <c r="L100" s="25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5"/>
      <c r="J101" s="25"/>
      <c r="K101" s="26"/>
      <c r="L101" s="25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5"/>
      <c r="J102" s="25"/>
      <c r="K102" s="26"/>
      <c r="L102" s="25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5"/>
      <c r="J103" s="25"/>
      <c r="K103" s="26"/>
      <c r="L103" s="25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5"/>
      <c r="J104" s="25"/>
      <c r="K104" s="26"/>
      <c r="L104" s="25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5"/>
      <c r="J105" s="25"/>
      <c r="K105" s="26"/>
      <c r="L105" s="25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5"/>
      <c r="J106" s="25"/>
      <c r="K106" s="26"/>
      <c r="L106" s="25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5"/>
      <c r="J107" s="25"/>
      <c r="K107" s="26"/>
      <c r="L107" s="25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5"/>
      <c r="J108" s="25"/>
      <c r="K108" s="26"/>
      <c r="L108" s="25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5"/>
      <c r="J109" s="25"/>
      <c r="K109" s="26"/>
      <c r="L109" s="25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5"/>
      <c r="J110" s="25"/>
      <c r="K110" s="26"/>
      <c r="L110" s="25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5"/>
      <c r="J111" s="25"/>
      <c r="K111" s="26"/>
      <c r="L111" s="25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5"/>
      <c r="J112" s="25"/>
      <c r="K112" s="26"/>
      <c r="L112" s="25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5"/>
      <c r="J113" s="25"/>
      <c r="K113" s="26"/>
      <c r="L113" s="25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5"/>
      <c r="J114" s="25"/>
      <c r="K114" s="26"/>
      <c r="L114" s="25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5"/>
      <c r="J115" s="25"/>
      <c r="K115" s="26"/>
      <c r="L115" s="25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5"/>
      <c r="J116" s="25"/>
      <c r="K116" s="26"/>
      <c r="L116" s="25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5"/>
      <c r="J117" s="25"/>
      <c r="K117" s="26"/>
      <c r="L117" s="25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5"/>
      <c r="J118" s="25"/>
      <c r="K118" s="26"/>
      <c r="L118" s="25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5"/>
      <c r="J119" s="25"/>
      <c r="K119" s="26"/>
      <c r="L119" s="25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5"/>
      <c r="J120" s="25"/>
      <c r="K120" s="26"/>
      <c r="L120" s="25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5"/>
      <c r="J121" s="25"/>
      <c r="K121" s="26"/>
      <c r="L121" s="25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5"/>
      <c r="J122" s="25"/>
      <c r="K122" s="26"/>
      <c r="L122" s="25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5"/>
      <c r="J123" s="25"/>
      <c r="K123" s="26"/>
      <c r="L123" s="25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5"/>
      <c r="J124" s="25"/>
      <c r="K124" s="26"/>
      <c r="L124" s="25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5"/>
      <c r="J125" s="25"/>
      <c r="K125" s="26"/>
      <c r="L125" s="25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5"/>
      <c r="J126" s="25"/>
      <c r="K126" s="26"/>
      <c r="L126" s="25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5"/>
      <c r="J127" s="25"/>
      <c r="K127" s="26"/>
      <c r="L127" s="25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5"/>
      <c r="J128" s="25"/>
      <c r="K128" s="26"/>
      <c r="L128" s="25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5"/>
      <c r="J129" s="25"/>
      <c r="K129" s="26"/>
      <c r="L129" s="25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5"/>
      <c r="J130" s="25"/>
      <c r="K130" s="26"/>
      <c r="L130" s="25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5"/>
      <c r="J131" s="25"/>
      <c r="K131" s="26"/>
      <c r="L131" s="25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5"/>
      <c r="J132" s="25"/>
      <c r="K132" s="26"/>
      <c r="L132" s="25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5"/>
      <c r="J133" s="25"/>
      <c r="K133" s="26"/>
      <c r="L133" s="25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5"/>
      <c r="J134" s="25"/>
      <c r="K134" s="26"/>
      <c r="L134" s="25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5"/>
      <c r="J135" s="25"/>
      <c r="K135" s="26"/>
      <c r="L135" s="25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5"/>
      <c r="J136" s="25"/>
      <c r="K136" s="26"/>
      <c r="L136" s="25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5"/>
      <c r="J137" s="25"/>
      <c r="K137" s="26"/>
      <c r="L137" s="25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5"/>
      <c r="J138" s="25"/>
      <c r="K138" s="26"/>
      <c r="L138" s="25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5"/>
      <c r="J139" s="25"/>
      <c r="K139" s="26"/>
      <c r="L139" s="25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5"/>
      <c r="J140" s="25"/>
      <c r="K140" s="26"/>
      <c r="L140" s="25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5"/>
      <c r="J141" s="25"/>
      <c r="K141" s="26"/>
      <c r="L141" s="25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5"/>
      <c r="J142" s="25"/>
      <c r="K142" s="26"/>
      <c r="L142" s="25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5"/>
      <c r="J143" s="25"/>
      <c r="K143" s="26"/>
      <c r="L143" s="25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5"/>
      <c r="J144" s="25"/>
      <c r="K144" s="26"/>
      <c r="L144" s="25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5"/>
      <c r="J145" s="25"/>
      <c r="K145" s="26"/>
      <c r="L145" s="25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5"/>
      <c r="J146" s="25"/>
      <c r="K146" s="26"/>
      <c r="L146" s="25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5"/>
      <c r="J147" s="25"/>
      <c r="K147" s="26"/>
      <c r="L147" s="25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5"/>
      <c r="J148" s="25"/>
      <c r="K148" s="26"/>
      <c r="L148" s="25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5"/>
      <c r="J149" s="25"/>
      <c r="K149" s="26"/>
      <c r="L149" s="25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5"/>
      <c r="J150" s="25"/>
      <c r="K150" s="26"/>
      <c r="L150" s="25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5"/>
      <c r="J151" s="25"/>
      <c r="K151" s="26"/>
      <c r="L151" s="25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5"/>
      <c r="J152" s="25"/>
      <c r="K152" s="26"/>
      <c r="L152" s="25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5"/>
      <c r="J153" s="25"/>
      <c r="K153" s="26"/>
      <c r="L153" s="25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5"/>
      <c r="J154" s="25"/>
      <c r="K154" s="26"/>
      <c r="L154" s="25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5"/>
      <c r="J155" s="25"/>
      <c r="K155" s="26"/>
      <c r="L155" s="25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5"/>
      <c r="J156" s="25"/>
      <c r="K156" s="26"/>
      <c r="L156" s="25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5"/>
      <c r="J157" s="25"/>
      <c r="K157" s="26"/>
      <c r="L157" s="25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5"/>
      <c r="J158" s="25"/>
      <c r="K158" s="26"/>
      <c r="L158" s="25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5"/>
      <c r="J159" s="25"/>
      <c r="K159" s="26"/>
      <c r="L159" s="25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5"/>
      <c r="J160" s="25"/>
      <c r="K160" s="26"/>
      <c r="L160" s="25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5"/>
      <c r="J161" s="25"/>
      <c r="K161" s="26"/>
      <c r="L161" s="25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5"/>
      <c r="J162" s="25"/>
      <c r="K162" s="26"/>
      <c r="L162" s="25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5"/>
      <c r="J163" s="25"/>
      <c r="K163" s="26"/>
      <c r="L163" s="25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5"/>
      <c r="J164" s="25"/>
      <c r="K164" s="26"/>
      <c r="L164" s="25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5"/>
      <c r="J165" s="25"/>
      <c r="K165" s="26"/>
      <c r="L165" s="25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5"/>
      <c r="J166" s="25"/>
      <c r="K166" s="26"/>
      <c r="L166" s="25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5"/>
      <c r="J167" s="25"/>
      <c r="K167" s="26"/>
      <c r="L167" s="25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5"/>
      <c r="J168" s="25"/>
      <c r="K168" s="26"/>
      <c r="L168" s="25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5"/>
      <c r="J169" s="25"/>
      <c r="K169" s="26"/>
      <c r="L169" s="25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5"/>
      <c r="J170" s="25"/>
      <c r="K170" s="26"/>
      <c r="L170" s="25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5"/>
      <c r="J171" s="25"/>
      <c r="K171" s="26"/>
      <c r="L171" s="25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5"/>
      <c r="J172" s="25"/>
      <c r="K172" s="26"/>
      <c r="L172" s="25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5"/>
      <c r="J173" s="25"/>
      <c r="K173" s="26"/>
      <c r="L173" s="25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5"/>
      <c r="J174" s="25"/>
      <c r="K174" s="26"/>
      <c r="L174" s="25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5"/>
      <c r="J175" s="25"/>
      <c r="K175" s="26"/>
      <c r="L175" s="25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5"/>
      <c r="J176" s="25"/>
      <c r="K176" s="26"/>
      <c r="L176" s="25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5"/>
      <c r="J177" s="25"/>
      <c r="K177" s="26"/>
      <c r="L177" s="25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5"/>
      <c r="J178" s="25"/>
      <c r="K178" s="26"/>
      <c r="L178" s="25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5"/>
      <c r="J179" s="25"/>
      <c r="K179" s="26"/>
      <c r="L179" s="25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5"/>
      <c r="J180" s="25"/>
      <c r="K180" s="26"/>
      <c r="L180" s="25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5"/>
      <c r="J181" s="25"/>
      <c r="K181" s="26"/>
      <c r="L181" s="25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5"/>
      <c r="J182" s="25"/>
      <c r="K182" s="26"/>
      <c r="L182" s="25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5"/>
      <c r="J183" s="25"/>
      <c r="K183" s="26"/>
      <c r="L183" s="25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5"/>
      <c r="J184" s="25"/>
      <c r="K184" s="26"/>
      <c r="L184" s="25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5"/>
      <c r="J185" s="25"/>
      <c r="K185" s="26"/>
      <c r="L185" s="25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5"/>
      <c r="J186" s="25"/>
      <c r="K186" s="26"/>
      <c r="L186" s="25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5"/>
      <c r="J187" s="25"/>
      <c r="K187" s="26"/>
      <c r="L187" s="25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5"/>
      <c r="J188" s="25"/>
      <c r="K188" s="26"/>
      <c r="L188" s="25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5"/>
      <c r="J189" s="25"/>
      <c r="K189" s="26"/>
      <c r="L189" s="25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5"/>
      <c r="J190" s="25"/>
      <c r="K190" s="26"/>
      <c r="L190" s="25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5"/>
      <c r="J191" s="25"/>
      <c r="K191" s="26"/>
      <c r="L191" s="25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5"/>
      <c r="J192" s="25"/>
      <c r="K192" s="26"/>
      <c r="L192" s="25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5"/>
      <c r="J193" s="25"/>
      <c r="K193" s="26"/>
      <c r="L193" s="25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5"/>
      <c r="J194" s="25"/>
      <c r="K194" s="26"/>
      <c r="L194" s="25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5"/>
      <c r="J195" s="25"/>
      <c r="K195" s="26"/>
      <c r="L195" s="25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5"/>
      <c r="J196" s="25"/>
      <c r="K196" s="26"/>
      <c r="L196" s="25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5"/>
      <c r="J197" s="25"/>
      <c r="K197" s="26"/>
      <c r="L197" s="25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5"/>
      <c r="J198" s="25"/>
      <c r="K198" s="26"/>
      <c r="L198" s="25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5"/>
      <c r="J199" s="25"/>
      <c r="K199" s="26"/>
      <c r="L199" s="25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5"/>
      <c r="J200" s="25"/>
      <c r="K200" s="26"/>
      <c r="L200" s="25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5"/>
      <c r="J201" s="25"/>
      <c r="K201" s="26"/>
      <c r="L201" s="25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5"/>
      <c r="J202" s="25"/>
      <c r="K202" s="26"/>
      <c r="L202" s="25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5"/>
      <c r="J203" s="25"/>
      <c r="K203" s="26"/>
      <c r="L203" s="25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5"/>
      <c r="J204" s="25"/>
      <c r="K204" s="26"/>
      <c r="L204" s="25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5"/>
      <c r="J205" s="25"/>
      <c r="K205" s="26"/>
      <c r="L205" s="25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5"/>
      <c r="J206" s="25"/>
      <c r="K206" s="26"/>
      <c r="L206" s="25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5"/>
      <c r="J207" s="25"/>
      <c r="K207" s="26"/>
      <c r="L207" s="25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5"/>
      <c r="J208" s="25"/>
      <c r="K208" s="26"/>
      <c r="L208" s="25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5"/>
      <c r="J209" s="25"/>
      <c r="K209" s="26"/>
      <c r="L209" s="25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5"/>
      <c r="J210" s="25"/>
      <c r="K210" s="26"/>
      <c r="L210" s="25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5"/>
      <c r="J211" s="25"/>
      <c r="K211" s="26"/>
      <c r="L211" s="25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5"/>
      <c r="J212" s="25"/>
      <c r="K212" s="26"/>
      <c r="L212" s="25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5"/>
      <c r="J213" s="25"/>
      <c r="K213" s="26"/>
      <c r="L213" s="25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5"/>
      <c r="J214" s="25"/>
      <c r="K214" s="26"/>
      <c r="L214" s="25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5"/>
      <c r="J215" s="25"/>
      <c r="K215" s="26"/>
      <c r="L215" s="25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5"/>
      <c r="J216" s="25"/>
      <c r="K216" s="26"/>
      <c r="L216" s="25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5"/>
      <c r="J217" s="25"/>
      <c r="K217" s="26"/>
      <c r="L217" s="25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5"/>
      <c r="J218" s="25"/>
      <c r="K218" s="26"/>
      <c r="L218" s="25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5"/>
      <c r="J219" s="25"/>
      <c r="K219" s="26"/>
      <c r="L219" s="25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5"/>
      <c r="J220" s="25"/>
      <c r="K220" s="26"/>
      <c r="L220" s="25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5"/>
      <c r="J221" s="25"/>
      <c r="K221" s="26"/>
      <c r="L221" s="25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5"/>
      <c r="J222" s="25"/>
      <c r="K222" s="26"/>
      <c r="L222" s="25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5"/>
      <c r="J223" s="25"/>
      <c r="K223" s="26"/>
      <c r="L223" s="25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5"/>
      <c r="J224" s="25"/>
      <c r="K224" s="26"/>
      <c r="L224" s="25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5"/>
      <c r="J225" s="25"/>
      <c r="K225" s="26"/>
      <c r="L225" s="25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5"/>
      <c r="J226" s="25"/>
      <c r="K226" s="26"/>
      <c r="L226" s="25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5"/>
      <c r="J227" s="25"/>
      <c r="K227" s="26"/>
      <c r="L227" s="25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5"/>
      <c r="J228" s="25"/>
      <c r="K228" s="26"/>
      <c r="L228" s="25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5"/>
      <c r="J229" s="25"/>
      <c r="K229" s="26"/>
      <c r="L229" s="25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5"/>
      <c r="J230" s="25"/>
      <c r="K230" s="26"/>
      <c r="L230" s="25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9">
      <formula1>OR(NOT(ISERROR(DATEVALUE(J6))), AND(ISNUMBER(J6), LEFT(CELL("format", J6))="D"))</formula1>
    </dataValidation>
    <dataValidation type="list" allowBlank="1" showErrorMessage="1" sqref="K10:L17">
      <formula1>#REF!</formula1>
    </dataValidation>
    <dataValidation type="list" allowBlank="1" showErrorMessage="1" sqref="L6:L9">
      <formula1>$L$27:$L$30</formula1>
    </dataValidation>
    <dataValidation type="list" allowBlank="1" showErrorMessage="1" sqref="K6:K9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8"/>
      <c r="D4" s="28"/>
      <c r="E4" s="28"/>
      <c r="F4" s="29"/>
    </row>
    <row r="5" hidden="1">
      <c r="C5" s="28"/>
      <c r="D5" s="28"/>
      <c r="E5" s="28"/>
      <c r="F5" s="29"/>
    </row>
    <row r="6" ht="39.75" customHeight="1">
      <c r="B6" s="30" t="s">
        <v>55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9.75" customHeight="1">
      <c r="B8" s="33"/>
      <c r="C8" s="34"/>
      <c r="D8" s="34"/>
      <c r="E8" s="34"/>
      <c r="F8" s="35"/>
      <c r="G8" s="36"/>
      <c r="H8" s="36"/>
      <c r="I8" s="36"/>
      <c r="J8" s="36"/>
      <c r="K8" s="36"/>
      <c r="L8" s="36"/>
      <c r="M8" s="36"/>
      <c r="N8" s="36"/>
      <c r="O8" s="36"/>
      <c r="P8" s="37"/>
      <c r="Q8" s="31"/>
    </row>
    <row r="9" ht="30.0" customHeight="1">
      <c r="B9" s="38"/>
      <c r="C9" s="39" t="s">
        <v>1</v>
      </c>
      <c r="D9" s="40"/>
      <c r="E9" s="41" t="s">
        <v>56</v>
      </c>
      <c r="F9" s="6"/>
      <c r="G9" s="40"/>
      <c r="H9" s="41" t="s">
        <v>11</v>
      </c>
      <c r="I9" s="6"/>
      <c r="J9" s="42"/>
      <c r="K9" s="42"/>
      <c r="L9" s="42"/>
      <c r="M9" s="42"/>
      <c r="N9" s="42"/>
      <c r="O9" s="42"/>
      <c r="P9" s="43"/>
      <c r="Q9" s="31"/>
    </row>
    <row r="10" ht="30.0" customHeight="1">
      <c r="B10" s="38"/>
      <c r="C10" s="44" t="s">
        <v>42</v>
      </c>
      <c r="D10" s="45"/>
      <c r="E10" s="46" t="str">
        <f>VLOOKUP(C10,'Formato descripción HU'!B6:O17,5,0)</f>
        <v>Cliente</v>
      </c>
      <c r="F10" s="6"/>
      <c r="G10" s="47"/>
      <c r="H10" s="46" t="str">
        <f>VLOOKUP(C10,'Formato descripción HU'!B6:O17,11,0)</f>
        <v>En proceso</v>
      </c>
      <c r="I10" s="6"/>
      <c r="J10" s="47"/>
      <c r="K10" s="42"/>
      <c r="L10" s="42"/>
      <c r="M10" s="42"/>
      <c r="N10" s="42"/>
      <c r="O10" s="42"/>
      <c r="P10" s="43"/>
      <c r="Q10" s="31"/>
    </row>
    <row r="11" ht="9.75" customHeight="1">
      <c r="A11" s="31"/>
      <c r="B11" s="38"/>
      <c r="C11" s="48"/>
      <c r="D11" s="45"/>
      <c r="E11" s="49"/>
      <c r="F11" s="49"/>
      <c r="G11" s="47"/>
      <c r="H11" s="49"/>
      <c r="I11" s="49"/>
      <c r="J11" s="47"/>
      <c r="K11" s="49"/>
      <c r="L11" s="49"/>
      <c r="M11" s="42"/>
      <c r="N11" s="49"/>
      <c r="O11" s="49"/>
      <c r="P11" s="43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31"/>
      <c r="B12" s="38"/>
      <c r="C12" s="39" t="s">
        <v>57</v>
      </c>
      <c r="D12" s="45"/>
      <c r="E12" s="41" t="s">
        <v>10</v>
      </c>
      <c r="F12" s="6"/>
      <c r="G12" s="47"/>
      <c r="H12" s="41" t="s">
        <v>58</v>
      </c>
      <c r="I12" s="6"/>
      <c r="J12" s="47"/>
      <c r="K12" s="49"/>
      <c r="L12" s="49"/>
      <c r="M12" s="42"/>
      <c r="N12" s="49"/>
      <c r="O12" s="49"/>
      <c r="P12" s="43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0.0" customHeight="1">
      <c r="A13" s="31"/>
      <c r="B13" s="38"/>
      <c r="C13" s="50">
        <f>VLOOKUP('Historia de Usuario'!C10,'Formato descripción HU'!B6:O17,8,0)</f>
        <v>15</v>
      </c>
      <c r="D13" s="45"/>
      <c r="E13" s="46" t="str">
        <f>VLOOKUP(C10,'Formato descripción HU'!B6:O17,10,0)</f>
        <v>Media </v>
      </c>
      <c r="F13" s="6"/>
      <c r="G13" s="47"/>
      <c r="H13" s="46" t="str">
        <f>VLOOKUP(C10,'Formato descripción HU'!B6:O17,7,0)</f>
        <v/>
      </c>
      <c r="I13" s="6"/>
      <c r="J13" s="47"/>
      <c r="K13" s="49"/>
      <c r="L13" s="49"/>
      <c r="M13" s="42"/>
      <c r="N13" s="49"/>
      <c r="O13" s="49"/>
      <c r="P13" s="43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9.75" customHeight="1">
      <c r="A14" s="31"/>
      <c r="B14" s="38"/>
      <c r="C14" s="42"/>
      <c r="D14" s="45"/>
      <c r="E14" s="42"/>
      <c r="F14" s="42"/>
      <c r="G14" s="47"/>
      <c r="H14" s="47"/>
      <c r="I14" s="42"/>
      <c r="J14" s="42"/>
      <c r="K14" s="42"/>
      <c r="L14" s="42"/>
      <c r="M14" s="42"/>
      <c r="N14" s="42"/>
      <c r="O14" s="42"/>
      <c r="P14" s="43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31"/>
      <c r="B15" s="38"/>
      <c r="C15" s="51" t="s">
        <v>59</v>
      </c>
      <c r="D15" s="52" t="str">
        <f>VLOOKUP(C10,'Formato descripción HU'!B6:O17,3,0)</f>
        <v>El programa deberá tener una interfaz gráfica donde el cliente pueda registrar una orden por cuenta propia. </v>
      </c>
      <c r="E15" s="53"/>
      <c r="F15" s="54"/>
      <c r="G15" s="51" t="s">
        <v>60</v>
      </c>
      <c r="H15" s="52" t="str">
        <f>VLOOKUP(C10,'Formato descripción HU'!B6:O17,4,0)</f>
        <v>Para que el cliente genere pedidos por su propia cuenta mediante el qr presente en la mesa donde se encuentra</v>
      </c>
      <c r="I15" s="55"/>
      <c r="J15" s="53"/>
      <c r="K15" s="54"/>
      <c r="L15" s="51" t="s">
        <v>61</v>
      </c>
      <c r="M15" s="56" t="str">
        <f>VLOOKUP(C10,'Formato descripción HU'!B6:O17,6,0)</f>
        <v>Implementando una pestaña accesible mediante QR que identifique la mesa desde la que fue abierta y permita al cliente realizar un pedido por su propia cuenta</v>
      </c>
      <c r="N15" s="55"/>
      <c r="O15" s="53"/>
      <c r="P15" s="43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31"/>
      <c r="B16" s="38"/>
      <c r="C16" s="57"/>
      <c r="D16" s="58"/>
      <c r="E16" s="59"/>
      <c r="F16" s="54"/>
      <c r="G16" s="57"/>
      <c r="H16" s="58"/>
      <c r="J16" s="59"/>
      <c r="K16" s="54"/>
      <c r="L16" s="57"/>
      <c r="M16" s="58"/>
      <c r="O16" s="59"/>
      <c r="P16" s="43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9.5" customHeight="1">
      <c r="A17" s="31"/>
      <c r="B17" s="38"/>
      <c r="C17" s="60"/>
      <c r="D17" s="61"/>
      <c r="E17" s="62"/>
      <c r="F17" s="54"/>
      <c r="G17" s="60"/>
      <c r="H17" s="61"/>
      <c r="I17" s="63"/>
      <c r="J17" s="62"/>
      <c r="K17" s="54"/>
      <c r="L17" s="60"/>
      <c r="M17" s="61"/>
      <c r="N17" s="63"/>
      <c r="O17" s="62"/>
      <c r="P17" s="43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9.75" customHeight="1">
      <c r="A18" s="31"/>
      <c r="B18" s="38"/>
      <c r="C18" s="42"/>
      <c r="D18" s="42"/>
      <c r="E18" s="42"/>
      <c r="F18" s="42"/>
      <c r="G18" s="47"/>
      <c r="H18" s="47"/>
      <c r="I18" s="47"/>
      <c r="J18" s="42"/>
      <c r="K18" s="42"/>
      <c r="L18" s="42"/>
      <c r="M18" s="42"/>
      <c r="N18" s="42"/>
      <c r="O18" s="42"/>
      <c r="P18" s="43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9.5" customHeight="1">
      <c r="B19" s="38"/>
      <c r="C19" s="64" t="s">
        <v>62</v>
      </c>
      <c r="D19" s="53"/>
      <c r="E19" s="65" t="str">
        <f>VLOOKUP(C10,'Formato descripción HU'!B6:O17,14,0)</f>
        <v>Pedido mediante código QR.</v>
      </c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43"/>
      <c r="Q19" s="31"/>
    </row>
    <row r="20" ht="19.5" customHeight="1">
      <c r="B20" s="38"/>
      <c r="C20" s="61"/>
      <c r="D20" s="62"/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43"/>
      <c r="Q20" s="31"/>
    </row>
    <row r="21" ht="9.75" customHeight="1">
      <c r="B21" s="38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31"/>
    </row>
    <row r="22" ht="19.5" customHeight="1">
      <c r="A22" s="31"/>
      <c r="B22" s="38"/>
      <c r="C22" s="71" t="s">
        <v>63</v>
      </c>
      <c r="D22" s="53"/>
      <c r="E22" s="72" t="str">
        <f>VLOOKUP(C10,'Formato descripción HU'!B6:O17,12,0)</f>
        <v>El cliente escaneará un QR válido, visualizará el menú y registrará al menos un producto. El sistema asociará el pedido a la mesa correspondiente, generará un identificador único, asignará el estado "Pendiente" y enviará el pedido a cocina. Si el pedido está vacío, el sistema impedirá su confirmación.</v>
      </c>
      <c r="F22" s="55"/>
      <c r="G22" s="55"/>
      <c r="H22" s="53"/>
      <c r="I22" s="42"/>
      <c r="J22" s="71" t="s">
        <v>13</v>
      </c>
      <c r="K22" s="53"/>
      <c r="L22" s="52" t="str">
        <f>VLOOKUP(C10,'Formato descripción HU'!B6:O17,13,0)</f>
        <v/>
      </c>
      <c r="M22" s="55"/>
      <c r="N22" s="55"/>
      <c r="O22" s="53"/>
      <c r="P22" s="43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9.5" customHeight="1">
      <c r="A23" s="31"/>
      <c r="B23" s="38"/>
      <c r="C23" s="58"/>
      <c r="D23" s="59"/>
      <c r="E23" s="58"/>
      <c r="H23" s="59"/>
      <c r="I23" s="42"/>
      <c r="J23" s="58"/>
      <c r="K23" s="59"/>
      <c r="L23" s="58"/>
      <c r="O23" s="59"/>
      <c r="P23" s="43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9.5" customHeight="1">
      <c r="A24" s="31"/>
      <c r="B24" s="38"/>
      <c r="C24" s="61"/>
      <c r="D24" s="62"/>
      <c r="E24" s="61"/>
      <c r="F24" s="63"/>
      <c r="G24" s="63"/>
      <c r="H24" s="62"/>
      <c r="I24" s="42"/>
      <c r="J24" s="61"/>
      <c r="K24" s="62"/>
      <c r="L24" s="61"/>
      <c r="M24" s="63"/>
      <c r="N24" s="63"/>
      <c r="O24" s="62"/>
      <c r="P24" s="43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9.75" customHeight="1">
      <c r="A25" s="31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9.5" customHeight="1">
      <c r="C26" s="28"/>
      <c r="D26" s="28"/>
      <c r="E26" s="28"/>
      <c r="F26" s="29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76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9.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9.5" customHeight="1">
      <c r="B29" s="31"/>
      <c r="C29" s="28"/>
      <c r="D29" s="28"/>
      <c r="E29" s="28"/>
      <c r="F29" s="29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9.5" customHeight="1">
      <c r="B30" s="31"/>
      <c r="C30" s="77"/>
      <c r="D30" s="78"/>
      <c r="E30" s="77"/>
      <c r="G30" s="78"/>
      <c r="H30" s="77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A31" s="31"/>
      <c r="B31" s="31"/>
      <c r="C31" s="77"/>
      <c r="D31" s="79"/>
      <c r="E31" s="77"/>
      <c r="G31" s="80"/>
      <c r="H31" s="77"/>
      <c r="J31" s="80"/>
      <c r="K31" s="81"/>
      <c r="L31" s="81"/>
      <c r="M31" s="31"/>
      <c r="N31" s="81"/>
      <c r="O31" s="8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A32" s="31"/>
      <c r="B32" s="31"/>
      <c r="C32" s="82"/>
      <c r="D32" s="79"/>
      <c r="E32" s="81"/>
      <c r="G32" s="80"/>
      <c r="H32" s="81"/>
      <c r="J32" s="80"/>
      <c r="K32" s="81"/>
      <c r="L32" s="81"/>
      <c r="M32" s="31"/>
      <c r="N32" s="81"/>
      <c r="O32" s="81"/>
      <c r="P32" s="31"/>
    </row>
    <row r="33" ht="19.5" customHeight="1">
      <c r="A33" s="31"/>
      <c r="B33" s="31"/>
      <c r="C33" s="31"/>
      <c r="D33" s="79"/>
      <c r="E33" s="31"/>
      <c r="F33" s="31"/>
      <c r="G33" s="80"/>
      <c r="H33" s="80"/>
      <c r="I33" s="31"/>
      <c r="J33" s="31"/>
      <c r="K33" s="31"/>
      <c r="L33" s="31"/>
      <c r="M33" s="31"/>
      <c r="N33" s="31"/>
      <c r="O33" s="31"/>
      <c r="P33" s="31"/>
    </row>
    <row r="34" ht="19.5" customHeight="1">
      <c r="A34" s="31"/>
      <c r="B34" s="31"/>
      <c r="C34" s="77"/>
      <c r="D34" s="83"/>
      <c r="F34" s="84"/>
      <c r="G34" s="77"/>
      <c r="H34" s="83"/>
      <c r="K34" s="84"/>
      <c r="L34" s="77"/>
      <c r="M34" s="85"/>
      <c r="P34" s="31"/>
    </row>
    <row r="35" ht="19.5" customHeight="1">
      <c r="A35" s="31"/>
      <c r="B35" s="31"/>
      <c r="F35" s="84"/>
      <c r="K35" s="84"/>
      <c r="P35" s="31"/>
    </row>
    <row r="36" ht="19.5" customHeight="1">
      <c r="A36" s="31"/>
      <c r="B36" s="31"/>
      <c r="F36" s="84"/>
      <c r="K36" s="84"/>
      <c r="P36" s="31"/>
    </row>
    <row r="37" ht="19.5" customHeight="1">
      <c r="A37" s="31"/>
      <c r="B37" s="31"/>
      <c r="C37" s="31"/>
      <c r="D37" s="31"/>
      <c r="E37" s="31"/>
      <c r="F37" s="31"/>
      <c r="G37" s="80"/>
      <c r="H37" s="80"/>
      <c r="I37" s="80"/>
      <c r="J37" s="31"/>
      <c r="K37" s="31"/>
      <c r="L37" s="31"/>
      <c r="M37" s="31"/>
      <c r="N37" s="31"/>
      <c r="O37" s="31"/>
      <c r="P37" s="31"/>
    </row>
    <row r="38" ht="19.5" customHeight="1">
      <c r="B38" s="31"/>
      <c r="C38" s="86"/>
      <c r="E38" s="82"/>
      <c r="P38" s="31"/>
    </row>
    <row r="39" ht="19.5" customHeight="1">
      <c r="B39" s="31"/>
      <c r="P39" s="31"/>
    </row>
    <row r="40" ht="19.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ht="19.5" customHeight="1">
      <c r="A41" s="31"/>
      <c r="B41" s="31"/>
      <c r="C41" s="77"/>
      <c r="E41" s="87"/>
      <c r="I41" s="31"/>
      <c r="J41" s="77"/>
      <c r="L41" s="83"/>
      <c r="P41" s="31"/>
    </row>
    <row r="42" ht="19.5" customHeight="1">
      <c r="A42" s="31"/>
      <c r="B42" s="31"/>
      <c r="I42" s="31"/>
      <c r="P42" s="31"/>
    </row>
    <row r="43" ht="19.5" customHeight="1">
      <c r="A43" s="31"/>
      <c r="B43" s="31"/>
      <c r="I43" s="31"/>
      <c r="P43" s="31"/>
    </row>
    <row r="44" ht="19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ht="19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ht="19.5" customHeight="1">
      <c r="A46" s="31"/>
      <c r="B46" s="88"/>
    </row>
    <row r="47" ht="19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ht="19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ht="19.5" customHeight="1">
      <c r="A49" s="31"/>
      <c r="B49" s="31"/>
      <c r="C49" s="89"/>
      <c r="D49" s="31"/>
      <c r="E49" s="89"/>
      <c r="G49" s="31"/>
      <c r="H49" s="89"/>
      <c r="J49" s="31"/>
      <c r="K49" s="31"/>
      <c r="L49" s="31"/>
      <c r="M49" s="31"/>
      <c r="N49" s="31"/>
      <c r="O49" s="31"/>
      <c r="P49" s="31"/>
    </row>
    <row r="50" ht="19.5" customHeight="1">
      <c r="A50" s="31"/>
      <c r="B50" s="31"/>
      <c r="C50" s="90"/>
      <c r="D50" s="31"/>
      <c r="E50" s="91"/>
      <c r="G50" s="31"/>
      <c r="H50" s="81"/>
      <c r="J50" s="31"/>
      <c r="K50" s="31"/>
      <c r="L50" s="31"/>
      <c r="M50" s="31"/>
      <c r="N50" s="31"/>
      <c r="O50" s="31"/>
      <c r="P50" s="31"/>
    </row>
    <row r="51" ht="19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</row>
    <row r="52" ht="19.5" customHeight="1">
      <c r="A52" s="31"/>
      <c r="B52" s="31"/>
      <c r="C52" s="89"/>
      <c r="D52" s="31"/>
      <c r="E52" s="89"/>
      <c r="G52" s="31"/>
      <c r="H52" s="89"/>
      <c r="J52" s="31"/>
      <c r="K52" s="31"/>
      <c r="L52" s="31"/>
      <c r="M52" s="31"/>
      <c r="N52" s="31"/>
      <c r="O52" s="31"/>
      <c r="P52" s="31"/>
    </row>
    <row r="53" ht="15.75" customHeight="1">
      <c r="A53" s="31"/>
      <c r="B53" s="31"/>
      <c r="C53" s="90"/>
      <c r="D53" s="31"/>
      <c r="E53" s="91"/>
      <c r="G53" s="31"/>
      <c r="H53" s="91"/>
      <c r="J53" s="31"/>
      <c r="K53" s="31"/>
      <c r="L53" s="31"/>
      <c r="M53" s="31"/>
      <c r="N53" s="31"/>
      <c r="O53" s="31"/>
      <c r="P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ht="15.75" customHeight="1">
      <c r="A55" s="31"/>
      <c r="B55" s="31"/>
      <c r="C55" s="89"/>
      <c r="D55" s="83"/>
      <c r="F55" s="31"/>
      <c r="G55" s="89"/>
      <c r="H55" s="92"/>
      <c r="K55" s="31"/>
      <c r="L55" s="89"/>
      <c r="M55" s="93"/>
      <c r="P55" s="31"/>
    </row>
    <row r="56" ht="15.75" customHeight="1">
      <c r="A56" s="31"/>
      <c r="B56" s="31"/>
      <c r="F56" s="31"/>
      <c r="K56" s="31"/>
      <c r="P56" s="31"/>
    </row>
    <row r="57" ht="15.75" customHeight="1">
      <c r="A57" s="31"/>
      <c r="B57" s="31"/>
      <c r="F57" s="31"/>
      <c r="K57" s="31"/>
      <c r="P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</row>
    <row r="59" ht="15.75" customHeight="1">
      <c r="A59" s="31"/>
      <c r="B59" s="31"/>
      <c r="C59" s="94"/>
      <c r="E59" s="90"/>
      <c r="P59" s="31"/>
    </row>
    <row r="60" ht="15.75" customHeight="1">
      <c r="A60" s="31"/>
      <c r="B60" s="31"/>
      <c r="P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</row>
    <row r="62" ht="15.75" customHeight="1">
      <c r="A62" s="31"/>
      <c r="B62" s="31"/>
      <c r="C62" s="89"/>
      <c r="E62" s="95"/>
      <c r="I62" s="31"/>
      <c r="J62" s="89"/>
      <c r="L62" s="96"/>
      <c r="P62" s="31"/>
    </row>
    <row r="63" ht="15.75" customHeight="1">
      <c r="A63" s="31"/>
      <c r="B63" s="31"/>
      <c r="I63" s="31"/>
      <c r="P63" s="31"/>
    </row>
    <row r="64" ht="15.75" customHeight="1">
      <c r="A64" s="31"/>
      <c r="B64" s="31"/>
      <c r="I64" s="31"/>
      <c r="P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</row>
    <row r="66" ht="15.75" customHeight="1"/>
    <row r="67" ht="9.75" customHeight="1">
      <c r="A67" s="31"/>
      <c r="B67" s="88"/>
    </row>
    <row r="68" ht="27.0" customHeight="1">
      <c r="A68" s="31"/>
      <c r="B68" s="88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</row>
    <row r="71" ht="15.75" customHeight="1">
      <c r="A71" s="31"/>
      <c r="B71" s="31"/>
      <c r="C71" s="89"/>
      <c r="D71" s="31"/>
      <c r="E71" s="89"/>
      <c r="G71" s="31"/>
      <c r="H71" s="89"/>
      <c r="J71" s="31"/>
      <c r="K71" s="31"/>
      <c r="L71" s="31"/>
      <c r="M71" s="31"/>
      <c r="N71" s="31"/>
      <c r="O71" s="31"/>
      <c r="P71" s="31"/>
    </row>
    <row r="72" ht="15.75" customHeight="1">
      <c r="A72" s="31"/>
      <c r="B72" s="31"/>
      <c r="C72" s="89"/>
      <c r="D72" s="31"/>
      <c r="E72" s="89"/>
      <c r="G72" s="31"/>
      <c r="H72" s="89"/>
      <c r="J72" s="31"/>
      <c r="K72" s="31"/>
      <c r="L72" s="31"/>
      <c r="M72" s="31"/>
      <c r="N72" s="31"/>
      <c r="O72" s="31"/>
      <c r="P72" s="31"/>
    </row>
    <row r="73" ht="15.75" customHeight="1">
      <c r="A73" s="31"/>
      <c r="B73" s="31"/>
      <c r="C73" s="90"/>
      <c r="D73" s="31"/>
      <c r="E73" s="91"/>
      <c r="G73" s="31"/>
      <c r="H73" s="91"/>
      <c r="J73" s="31"/>
      <c r="K73" s="31"/>
      <c r="L73" s="31"/>
      <c r="M73" s="31"/>
      <c r="N73" s="31"/>
      <c r="O73" s="31"/>
      <c r="P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</row>
    <row r="75" ht="15.75" customHeight="1">
      <c r="A75" s="31"/>
      <c r="B75" s="31"/>
      <c r="C75" s="89"/>
      <c r="D75" s="97"/>
      <c r="F75" s="31"/>
      <c r="G75" s="89"/>
      <c r="H75" s="92"/>
      <c r="K75" s="31"/>
      <c r="L75" s="89"/>
      <c r="M75" s="93"/>
      <c r="P75" s="31"/>
    </row>
    <row r="76" ht="15.75" customHeight="1">
      <c r="A76" s="31"/>
      <c r="B76" s="31"/>
      <c r="F76" s="31"/>
      <c r="K76" s="31"/>
      <c r="P76" s="31"/>
    </row>
    <row r="77" ht="15.75" customHeight="1">
      <c r="A77" s="31"/>
      <c r="B77" s="31"/>
      <c r="F77" s="31"/>
      <c r="K77" s="31"/>
      <c r="P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ht="15.75" customHeight="1">
      <c r="A79" s="31"/>
      <c r="B79" s="31"/>
      <c r="C79" s="94"/>
      <c r="E79" s="90"/>
      <c r="P79" s="31"/>
    </row>
    <row r="80" ht="15.75" customHeight="1">
      <c r="A80" s="31"/>
      <c r="B80" s="31"/>
      <c r="P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</row>
    <row r="82" ht="15.75" customHeight="1">
      <c r="A82" s="31"/>
      <c r="B82" s="31"/>
      <c r="C82" s="89"/>
      <c r="E82" s="95"/>
      <c r="I82" s="31"/>
      <c r="J82" s="89"/>
      <c r="L82" s="31"/>
      <c r="P82" s="31"/>
    </row>
    <row r="83" ht="15.75" customHeight="1">
      <c r="A83" s="31"/>
      <c r="B83" s="31"/>
      <c r="I83" s="31"/>
      <c r="P83" s="31"/>
    </row>
    <row r="84" ht="15.75" customHeight="1">
      <c r="A84" s="31"/>
      <c r="B84" s="31"/>
      <c r="I84" s="31"/>
      <c r="P84" s="31"/>
    </row>
    <row r="85" ht="15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</row>
    <row r="86" ht="15.75" customHeight="1">
      <c r="A86" s="31"/>
    </row>
    <row r="87" ht="15.75" customHeight="1">
      <c r="A87" s="31"/>
      <c r="B87" s="88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</row>
    <row r="90" ht="15.75" customHeight="1">
      <c r="A90" s="31"/>
      <c r="B90" s="31"/>
      <c r="C90" s="89"/>
      <c r="D90" s="31"/>
      <c r="E90" s="89"/>
      <c r="G90" s="31"/>
      <c r="H90" s="89"/>
      <c r="J90" s="31"/>
      <c r="K90" s="31"/>
      <c r="L90" s="31"/>
      <c r="M90" s="31"/>
      <c r="N90" s="31"/>
      <c r="O90" s="31"/>
      <c r="P90" s="31"/>
    </row>
    <row r="91" ht="15.75" customHeight="1">
      <c r="A91" s="31"/>
      <c r="B91" s="31"/>
      <c r="C91" s="90"/>
      <c r="D91" s="31"/>
      <c r="E91" s="91"/>
      <c r="G91" s="31"/>
      <c r="H91" s="91"/>
      <c r="J91" s="31"/>
      <c r="K91" s="31"/>
      <c r="L91" s="31"/>
      <c r="M91" s="31"/>
      <c r="N91" s="31"/>
      <c r="O91" s="31"/>
      <c r="P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</row>
    <row r="93" ht="15.75" customHeight="1">
      <c r="A93" s="31"/>
      <c r="B93" s="31"/>
      <c r="C93" s="89"/>
      <c r="D93" s="92"/>
      <c r="F93" s="31"/>
      <c r="G93" s="89"/>
      <c r="H93" s="92"/>
      <c r="K93" s="31"/>
      <c r="L93" s="89"/>
      <c r="M93" s="98"/>
      <c r="P93" s="31"/>
    </row>
    <row r="94" ht="15.75" customHeight="1">
      <c r="A94" s="31"/>
      <c r="B94" s="31"/>
      <c r="F94" s="31"/>
      <c r="K94" s="31"/>
      <c r="P94" s="31"/>
    </row>
    <row r="95" ht="15.75" customHeight="1">
      <c r="A95" s="31"/>
      <c r="B95" s="31"/>
      <c r="F95" s="31"/>
      <c r="K95" s="31"/>
      <c r="P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</row>
    <row r="97" ht="15.75" customHeight="1">
      <c r="A97" s="31"/>
      <c r="B97" s="31"/>
      <c r="C97" s="94"/>
      <c r="E97" s="90"/>
      <c r="P97" s="31"/>
    </row>
    <row r="98" ht="15.75" customHeight="1">
      <c r="A98" s="31"/>
      <c r="B98" s="31"/>
      <c r="P98" s="31"/>
    </row>
    <row r="99" ht="15.75" customHeight="1">
      <c r="A99" s="31"/>
      <c r="B99" s="31"/>
      <c r="C99" s="31"/>
      <c r="D99" s="31"/>
      <c r="E99" s="99"/>
      <c r="F99" s="99"/>
      <c r="G99" s="99"/>
      <c r="H99" s="99"/>
      <c r="I99" s="31"/>
      <c r="J99" s="31"/>
      <c r="K99" s="31"/>
      <c r="L99" s="31"/>
      <c r="M99" s="31"/>
      <c r="N99" s="31"/>
      <c r="O99" s="31"/>
      <c r="P99" s="31"/>
    </row>
    <row r="100" ht="15.75" customHeight="1">
      <c r="A100" s="31"/>
      <c r="B100" s="31"/>
      <c r="C100" s="89"/>
      <c r="E100" s="100"/>
      <c r="I100" s="31"/>
      <c r="J100" s="89"/>
      <c r="L100" s="31"/>
      <c r="P100" s="31"/>
    </row>
    <row r="101" ht="15.75" customHeight="1">
      <c r="A101" s="31"/>
      <c r="B101" s="31"/>
      <c r="I101" s="31"/>
      <c r="P101" s="31"/>
    </row>
    <row r="102" ht="15.75" customHeight="1">
      <c r="A102" s="31"/>
      <c r="B102" s="31"/>
      <c r="I102" s="31"/>
      <c r="P102" s="31"/>
    </row>
    <row r="103" ht="15.75" customHeight="1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</row>
    <row r="104" ht="15.75" customHeight="1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</row>
    <row r="105" ht="15.75" customHeight="1">
      <c r="B105" s="88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H52:I52"/>
    <mergeCell ref="H53:I53"/>
    <mergeCell ref="D55:E57"/>
    <mergeCell ref="G55:G57"/>
    <mergeCell ref="H55:J57"/>
    <mergeCell ref="L55:L57"/>
    <mergeCell ref="M55:O57"/>
    <mergeCell ref="E59:O60"/>
    <mergeCell ref="C55:C57"/>
    <mergeCell ref="C59:D60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C75:C77"/>
    <mergeCell ref="D75:E77"/>
    <mergeCell ref="G75:G77"/>
    <mergeCell ref="H75:J77"/>
    <mergeCell ref="L75:L77"/>
    <mergeCell ref="M75:O77"/>
    <mergeCell ref="E79:O80"/>
    <mergeCell ref="C79:D80"/>
    <mergeCell ref="C82:D84"/>
    <mergeCell ref="E82:H84"/>
    <mergeCell ref="J82:K84"/>
    <mergeCell ref="L82:O84"/>
    <mergeCell ref="B87:P87"/>
    <mergeCell ref="H90:I90"/>
    <mergeCell ref="L93:L95"/>
    <mergeCell ref="M93:O95"/>
    <mergeCell ref="C97:D98"/>
    <mergeCell ref="E97:O98"/>
    <mergeCell ref="C100:D102"/>
    <mergeCell ref="E100:H102"/>
    <mergeCell ref="J100:K102"/>
    <mergeCell ref="L100:O102"/>
    <mergeCell ref="B105:P105"/>
    <mergeCell ref="E90:F90"/>
    <mergeCell ref="E91:F91"/>
    <mergeCell ref="H91:I91"/>
    <mergeCell ref="C93:C95"/>
    <mergeCell ref="D93:E95"/>
    <mergeCell ref="G93:G95"/>
    <mergeCell ref="H93:J9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J41:K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</mergeCells>
  <conditionalFormatting sqref="H10:I11 H50">
    <cfRule type="cellIs" dxfId="0" priority="1" operator="equal">
      <formula>"Atrasado"</formula>
    </cfRule>
  </conditionalFormatting>
  <conditionalFormatting sqref="H10:I11 H50">
    <cfRule type="cellIs" dxfId="1" priority="2" operator="equal">
      <formula>"Terminado"</formula>
    </cfRule>
  </conditionalFormatting>
  <conditionalFormatting sqref="H10:I11 H50">
    <cfRule type="cellIs" dxfId="2" priority="3" operator="equal">
      <formula>"En proceso"</formula>
    </cfRule>
  </conditionalFormatting>
  <conditionalFormatting sqref="H10:I11 H50">
    <cfRule type="cellIs" dxfId="1" priority="4" operator="equal">
      <formula>"No Iniciado"</formula>
    </cfRule>
  </conditionalFormatting>
  <dataValidations>
    <dataValidation type="list" allowBlank="1" showErrorMessage="1" sqref="C10:C11 C50:C51">
      <formula1>'Formato descripción HU'!$B$6:$B$17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