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69DC00D-989D-4E8C-B6A7-A404B9C7ED5E}" xr6:coauthVersionLast="47" xr6:coauthVersionMax="47" xr10:uidLastSave="{00000000-0000-0000-0000-000000000000}"/>
  <workbookProtection lockStructure="1"/>
  <bookViews>
    <workbookView xWindow="-110" yWindow="-110" windowWidth="19420" windowHeight="1030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D34" i="5" s="1" a="1"/>
  <c r="D34" i="5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D16" i="5" s="1" a="1"/>
  <c r="D16" i="5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D46" i="5" s="1" a="1"/>
  <c r="D46" i="5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12" i="5" l="1" a="1"/>
  <c r="D12" i="5" s="1"/>
  <c r="D24" i="5" a="1"/>
  <c r="D24" i="5" s="1"/>
  <c r="D6" i="5" a="1"/>
  <c r="D6" i="5" s="1"/>
  <c r="D25" i="5" a="1"/>
  <c r="D25" i="5" s="1"/>
  <c r="D31" i="5" a="1"/>
  <c r="D31" i="5" s="1"/>
  <c r="D14" i="5" a="1"/>
  <c r="D14" i="5" s="1"/>
  <c r="D9" i="5" a="1"/>
  <c r="D9" i="5" s="1"/>
  <c r="D27" i="5" a="1"/>
  <c r="D27" i="5" s="1"/>
  <c r="D39" i="5" a="1"/>
  <c r="D39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32" i="5"/>
  <c r="K67" i="5"/>
  <c r="K62" i="5"/>
  <c r="K97" i="5"/>
  <c r="K70" i="5"/>
  <c r="K10" i="5"/>
  <c r="K6" i="5"/>
  <c r="K8" i="5"/>
  <c r="K84" i="5"/>
  <c r="K88" i="5"/>
  <c r="K21" i="5"/>
  <c r="K14" i="5"/>
  <c r="K38" i="5"/>
  <c r="K57" i="5"/>
  <c r="K39" i="5"/>
  <c r="K59" i="5"/>
  <c r="K31" i="5"/>
  <c r="K68" i="5"/>
  <c r="K26" i="5"/>
  <c r="K5" i="5"/>
  <c r="K60" i="5"/>
  <c r="K23" i="5"/>
  <c r="K17" i="5"/>
  <c r="K49" i="5"/>
  <c r="K52" i="5"/>
  <c r="K53" i="5"/>
  <c r="K78" i="5"/>
  <c r="K28" i="5"/>
  <c r="K98" i="5"/>
  <c r="K83" i="5"/>
  <c r="K19" i="5"/>
  <c r="K40" i="5"/>
  <c r="K74" i="5"/>
  <c r="K82" i="5"/>
  <c r="K2" i="5"/>
  <c r="K9" i="5"/>
  <c r="K16" i="5"/>
  <c r="K63" i="5"/>
  <c r="K48" i="5"/>
  <c r="K13" i="5"/>
  <c r="K100" i="5"/>
  <c r="K42" i="5"/>
  <c r="K3" i="5"/>
  <c r="K77" i="5"/>
  <c r="K25" i="5"/>
  <c r="K43" i="5"/>
  <c r="K12" i="5"/>
  <c r="K101" i="5"/>
  <c r="K55" i="5"/>
  <c r="K96" i="5"/>
  <c r="K33" i="5"/>
  <c r="K36" i="5"/>
  <c r="K73" i="5"/>
  <c r="K7" i="5"/>
  <c r="K30" i="5"/>
  <c r="K86" i="5"/>
  <c r="K50" i="5"/>
  <c r="K37" i="5"/>
  <c r="K11" i="5"/>
  <c r="K85" i="5"/>
  <c r="K22" i="5"/>
  <c r="K66" i="5"/>
  <c r="K61" i="5"/>
  <c r="K65" i="5"/>
  <c r="K46" i="5"/>
  <c r="K34" i="5"/>
  <c r="K92" i="5"/>
  <c r="K79" i="5"/>
  <c r="K58" i="5"/>
  <c r="K15" i="5"/>
  <c r="K56" i="5"/>
  <c r="K29" i="5"/>
  <c r="K90" i="5"/>
  <c r="K93" i="5"/>
  <c r="K69" i="5"/>
  <c r="K99" i="5"/>
  <c r="K89" i="5"/>
  <c r="K45" i="5"/>
  <c r="K27" i="5"/>
  <c r="K91" i="5"/>
  <c r="K47" i="5"/>
  <c r="K44" i="5"/>
  <c r="K18" i="5"/>
  <c r="K41" i="5"/>
  <c r="K64" i="5"/>
  <c r="K20" i="5"/>
  <c r="K87" i="5"/>
  <c r="K81" i="5"/>
  <c r="K76" i="5"/>
  <c r="K4" i="5"/>
  <c r="K51" i="5"/>
  <c r="K24" i="5"/>
  <c r="K35" i="5"/>
  <c r="K80" i="5"/>
  <c r="K95" i="5"/>
  <c r="K75" i="5"/>
  <c r="K94" i="5"/>
  <c r="K71" i="5"/>
  <c r="K54" i="5"/>
  <c r="K72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N10" i="5"/>
  <c r="N32" i="5"/>
  <c r="L26" i="5"/>
  <c r="M50" i="5"/>
  <c r="L72" i="5"/>
  <c r="M17" i="5"/>
  <c r="N27" i="5"/>
  <c r="L13" i="5"/>
  <c r="L36" i="5"/>
  <c r="N57" i="5"/>
  <c r="M33" i="5"/>
  <c r="N85" i="5"/>
  <c r="M55" i="5"/>
  <c r="M80" i="5"/>
  <c r="M93" i="5"/>
  <c r="N34" i="5"/>
  <c r="N36" i="5"/>
  <c r="L49" i="5"/>
  <c r="L4" i="5"/>
  <c r="L18" i="5"/>
  <c r="N21" i="5"/>
  <c r="N16" i="5"/>
  <c r="N31" i="5"/>
  <c r="L76" i="5"/>
  <c r="L23" i="5"/>
  <c r="L37" i="5"/>
  <c r="L82" i="5"/>
  <c r="L55" i="5"/>
  <c r="M52" i="5"/>
  <c r="N14" i="5"/>
  <c r="M26" i="5"/>
  <c r="M62" i="5"/>
  <c r="N26" i="5"/>
  <c r="N92" i="5"/>
  <c r="N40" i="5"/>
  <c r="N96" i="5"/>
  <c r="M42" i="5"/>
  <c r="L7" i="5"/>
  <c r="M14" i="5"/>
  <c r="L91" i="5"/>
  <c r="L90" i="5"/>
  <c r="L34" i="5"/>
  <c r="L14" i="5"/>
  <c r="L50" i="5"/>
  <c r="L95" i="5"/>
  <c r="M99" i="5"/>
  <c r="M37" i="5"/>
  <c r="L19" i="5"/>
  <c r="M4" i="5"/>
  <c r="M77" i="5"/>
  <c r="L41" i="5"/>
  <c r="M69" i="5"/>
  <c r="L64" i="5"/>
  <c r="N2" i="5"/>
  <c r="M70" i="5"/>
  <c r="N80" i="5"/>
  <c r="L53" i="5"/>
  <c r="N89" i="5"/>
  <c r="L96" i="5"/>
  <c r="L6" i="5"/>
  <c r="N49" i="5"/>
  <c r="L28" i="5"/>
  <c r="N81" i="5"/>
  <c r="L17" i="5"/>
  <c r="M43" i="5"/>
  <c r="M59" i="5"/>
  <c r="M58" i="5"/>
  <c r="L46" i="5"/>
  <c r="M30" i="5"/>
  <c r="L71" i="5"/>
  <c r="M56" i="5"/>
  <c r="L85" i="5"/>
  <c r="M61" i="5"/>
  <c r="N42" i="5"/>
  <c r="M23" i="5"/>
  <c r="L31" i="5"/>
  <c r="L12" i="5"/>
  <c r="M91" i="5"/>
  <c r="N41" i="5"/>
  <c r="L56" i="5"/>
  <c r="N59" i="5"/>
  <c r="L24" i="5"/>
  <c r="M86" i="5"/>
  <c r="L40" i="5"/>
  <c r="M75" i="5"/>
  <c r="M51" i="5"/>
  <c r="M9" i="5"/>
  <c r="L79" i="5"/>
  <c r="L51" i="5"/>
  <c r="L68" i="5"/>
  <c r="L59" i="5"/>
  <c r="N58" i="5"/>
  <c r="M100" i="5"/>
  <c r="L43" i="5"/>
  <c r="N101" i="5"/>
  <c r="L35" i="5"/>
  <c r="M32" i="5"/>
  <c r="N17" i="5"/>
  <c r="N18" i="5"/>
  <c r="M46" i="5"/>
  <c r="L101" i="5"/>
  <c r="L99" i="5"/>
  <c r="L86" i="5"/>
  <c r="L75" i="5"/>
  <c r="M66" i="5"/>
  <c r="M73" i="5"/>
  <c r="L45" i="5"/>
  <c r="M8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M97" i="5"/>
  <c r="N61" i="5"/>
  <c r="N71" i="5"/>
  <c r="M53" i="5"/>
  <c r="N94" i="5"/>
  <c r="N35" i="5"/>
  <c r="N93" i="5"/>
  <c r="L10" i="5"/>
  <c r="N23" i="5"/>
  <c r="N84" i="5"/>
  <c r="M8" i="5"/>
  <c r="L20" i="5"/>
  <c r="M5" i="5"/>
  <c r="N13" i="5"/>
  <c r="N54" i="5"/>
  <c r="N37" i="5"/>
  <c r="M101" i="5"/>
  <c r="M38" i="5"/>
  <c r="L52" i="5"/>
  <c r="M48" i="5"/>
  <c r="M39" i="5"/>
  <c r="L81" i="5"/>
  <c r="N38" i="5"/>
  <c r="N75" i="5"/>
  <c r="M24" i="5"/>
  <c r="M71" i="5"/>
  <c r="L11" i="5"/>
  <c r="L93" i="5"/>
  <c r="M40" i="5"/>
  <c r="M74" i="5"/>
  <c r="M36" i="5"/>
  <c r="L61" i="5"/>
  <c r="L2" i="5"/>
  <c r="N88" i="5"/>
  <c r="N20" i="5"/>
  <c r="L77" i="5"/>
  <c r="M88" i="5"/>
  <c r="M81" i="5"/>
  <c r="N67" i="5"/>
  <c r="M16" i="5"/>
  <c r="M28" i="5"/>
  <c r="L16" i="5"/>
  <c r="L94" i="5"/>
  <c r="M85" i="5"/>
  <c r="M64" i="5"/>
  <c r="L74" i="5"/>
  <c r="M82" i="5"/>
  <c r="M95" i="5"/>
  <c r="N100" i="5"/>
  <c r="N39" i="5"/>
  <c r="M92" i="5"/>
  <c r="L87" i="5"/>
  <c r="N44" i="5"/>
  <c r="L33" i="5"/>
  <c r="M90" i="5"/>
  <c r="N11" i="5"/>
  <c r="M47" i="5"/>
  <c r="M79" i="5"/>
  <c r="L44" i="5"/>
  <c r="M49" i="5"/>
  <c r="N5" i="5"/>
  <c r="N29" i="5"/>
  <c r="M96" i="5"/>
  <c r="L58" i="5"/>
  <c r="L8" i="5"/>
  <c r="N97" i="5"/>
  <c r="M35" i="5"/>
  <c r="L84" i="5"/>
  <c r="N69" i="5"/>
  <c r="L3" i="5"/>
  <c r="N73" i="5"/>
  <c r="N83" i="5"/>
  <c r="M94" i="5"/>
  <c r="L88" i="5"/>
  <c r="N77" i="5"/>
  <c r="M31" i="5"/>
  <c r="N45" i="5"/>
  <c r="M76" i="5"/>
  <c r="M13" i="5"/>
  <c r="N95" i="5"/>
  <c r="N68" i="5"/>
  <c r="L30" i="5"/>
  <c r="M45" i="5"/>
  <c r="M34" i="5"/>
  <c r="N33" i="5"/>
  <c r="M60" i="5"/>
  <c r="L48" i="5"/>
  <c r="M12" i="5"/>
  <c r="N12" i="5"/>
  <c r="N87" i="5"/>
  <c r="M7" i="5"/>
  <c r="N52" i="5"/>
  <c r="L54" i="5"/>
  <c r="L25" i="5"/>
  <c r="M41" i="5"/>
  <c r="M63" i="5"/>
  <c r="N82" i="5"/>
  <c r="L73" i="5"/>
  <c r="N47" i="5"/>
  <c r="N62" i="5"/>
  <c r="L92" i="5"/>
  <c r="L70" i="5"/>
  <c r="N91" i="5"/>
  <c r="N4" i="5"/>
  <c r="M67" i="5"/>
  <c r="L89" i="5"/>
  <c r="L38" i="5"/>
  <c r="N56" i="5"/>
  <c r="L32" i="5"/>
  <c r="M83" i="5"/>
  <c r="M65" i="5"/>
  <c r="L97" i="5"/>
  <c r="N65" i="5"/>
  <c r="L9" i="5"/>
  <c r="M72" i="5"/>
  <c r="N72" i="5"/>
  <c r="L66" i="5"/>
  <c r="N53" i="5"/>
  <c r="N51" i="5"/>
  <c r="N6" i="5"/>
  <c r="L42" i="5"/>
  <c r="N15" i="5"/>
  <c r="N28" i="5"/>
  <c r="M20" i="5"/>
  <c r="N46" i="5"/>
  <c r="L98" i="5"/>
  <c r="L27" i="5"/>
  <c r="L21" i="5"/>
  <c r="L22" i="5"/>
  <c r="N64" i="5"/>
  <c r="N98" i="5"/>
  <c r="L62" i="5"/>
  <c r="N99" i="5"/>
  <c r="N24" i="5"/>
  <c r="M54" i="5"/>
  <c r="N9" i="5"/>
  <c r="N78" i="5"/>
  <c r="L69" i="5"/>
  <c r="N8" i="5"/>
  <c r="N90" i="5"/>
  <c r="M18" i="5"/>
  <c r="N7" i="5"/>
  <c r="M57" i="5"/>
  <c r="N50" i="5"/>
  <c r="L65" i="5"/>
  <c r="M98" i="5"/>
  <c r="N74" i="5"/>
  <c r="M3" i="5"/>
  <c r="M78" i="5"/>
  <c r="N19" i="5"/>
  <c r="N25" i="5"/>
  <c r="M11" i="5"/>
  <c r="L39" i="5"/>
  <c r="L83" i="5"/>
  <c r="L57" i="5"/>
  <c r="N63" i="5"/>
  <c r="N86" i="5"/>
  <c r="M87" i="5"/>
  <c r="N22" i="5"/>
  <c r="M22" i="5"/>
  <c r="L80" i="5"/>
  <c r="L100" i="5"/>
  <c r="N79" i="5"/>
  <c r="L29" i="5"/>
  <c r="N30" i="5"/>
  <c r="L60" i="5"/>
  <c r="L47" i="5"/>
  <c r="N76" i="5"/>
  <c r="M21" i="5"/>
  <c r="N48" i="5"/>
  <c r="M84" i="5"/>
  <c r="N55" i="5"/>
  <c r="M44" i="5"/>
  <c r="N66" i="5"/>
  <c r="M27" i="5"/>
  <c r="M15" i="5"/>
  <c r="L5" i="5"/>
  <c r="M10" i="5"/>
  <c r="L67" i="5"/>
  <c r="L15" i="5"/>
  <c r="M68" i="5"/>
  <c r="M6" i="5"/>
  <c r="M25" i="5"/>
  <c r="M19" i="5"/>
  <c r="N60" i="5"/>
  <c r="L63" i="5"/>
  <c r="M2" i="5"/>
  <c r="M29" i="5"/>
  <c r="L78" i="5"/>
  <c r="N43" i="5"/>
  <c r="N3" i="5"/>
  <c r="N70" i="5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15" i="5"/>
  <c r="J92" i="5"/>
  <c r="J23" i="5"/>
  <c r="J39" i="5"/>
  <c r="J31" i="5"/>
  <c r="J80" i="5"/>
  <c r="J85" i="5"/>
  <c r="J6" i="5"/>
  <c r="J82" i="5"/>
  <c r="J28" i="5"/>
  <c r="J54" i="5"/>
  <c r="J68" i="5"/>
  <c r="J91" i="5"/>
  <c r="J29" i="5"/>
  <c r="J51" i="5"/>
  <c r="J47" i="5"/>
  <c r="J53" i="5"/>
  <c r="J10" i="5"/>
  <c r="J75" i="5"/>
  <c r="J43" i="5"/>
  <c r="J4" i="5"/>
  <c r="J13" i="5"/>
  <c r="J21" i="5"/>
  <c r="J5" i="5"/>
  <c r="J45" i="5"/>
  <c r="J34" i="5"/>
  <c r="J76" i="5"/>
  <c r="J27" i="5"/>
  <c r="J42" i="5"/>
  <c r="J65" i="5"/>
  <c r="J61" i="5"/>
  <c r="J86" i="5"/>
  <c r="J55" i="5"/>
  <c r="J56" i="5"/>
  <c r="J96" i="5"/>
  <c r="J77" i="5"/>
  <c r="J7" i="5"/>
  <c r="J62" i="5"/>
  <c r="J52" i="5"/>
  <c r="J48" i="5"/>
  <c r="J67" i="5"/>
  <c r="J2" i="5"/>
  <c r="J9" i="5"/>
  <c r="J97" i="5"/>
  <c r="J66" i="5"/>
  <c r="J100" i="5"/>
  <c r="J84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J40" i="5"/>
  <c r="J41" i="5"/>
  <c r="J38" i="5"/>
  <c r="J57" i="5"/>
  <c r="J101" i="5"/>
  <c r="J22" i="5"/>
  <c r="J30" i="5"/>
  <c r="J32" i="5"/>
  <c r="J94" i="5"/>
  <c r="J25" i="5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J8" i="5"/>
  <c r="J95" i="5"/>
  <c r="J16" i="5"/>
  <c r="J33" i="5"/>
  <c r="J18" i="5"/>
  <c r="J79" i="5"/>
  <c r="J50" i="5"/>
  <c r="J60" i="5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J88" i="5"/>
  <c r="J36" i="5"/>
  <c r="J37" i="5"/>
  <c r="J11" i="5"/>
  <c r="J98" i="5"/>
  <c r="J3" i="5"/>
  <c r="J63" i="5"/>
  <c r="J99" i="5"/>
  <c r="J20" i="5"/>
  <c r="J74" i="5"/>
  <c r="J73" i="5"/>
  <c r="J26" i="5"/>
  <c r="J44" i="5"/>
  <c r="J87" i="5"/>
  <c r="J72" i="5"/>
  <c r="J83" i="5"/>
  <c r="J49" i="5"/>
  <c r="J59" i="5"/>
  <c r="J35" i="5"/>
  <c r="J46" i="5"/>
  <c r="J24" i="5"/>
  <c r="J93" i="5"/>
  <c r="J69" i="5"/>
  <c r="J17" i="5"/>
  <c r="J89" i="5"/>
  <c r="J90" i="5"/>
  <c r="J81" i="5"/>
  <c r="J78" i="5"/>
  <c r="J70" i="5"/>
  <c r="J19" i="5"/>
  <c r="J64" i="5"/>
  <c r="J71" i="5"/>
  <c r="J58" i="5"/>
  <c r="J12" i="5"/>
  <c r="J14" i="5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59" i="5"/>
  <c r="G28" i="5"/>
  <c r="G57" i="5"/>
  <c r="G101" i="5"/>
  <c r="G86" i="5"/>
  <c r="G77" i="5"/>
  <c r="G39" i="5"/>
  <c r="G92" i="5"/>
  <c r="G81" i="5"/>
  <c r="G33" i="5"/>
  <c r="G66" i="5"/>
  <c r="G30" i="5"/>
  <c r="G46" i="5"/>
  <c r="G71" i="5"/>
  <c r="G63" i="5"/>
  <c r="G60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76" i="5"/>
  <c r="G61" i="5"/>
  <c r="G53" i="5"/>
  <c r="G93" i="5"/>
  <c r="G6" i="5"/>
  <c r="G69" i="5"/>
  <c r="G8" i="5"/>
  <c r="G64" i="5"/>
  <c r="G58" i="5"/>
  <c r="G43" i="5"/>
  <c r="G62" i="5"/>
  <c r="G73" i="5"/>
  <c r="G87" i="5"/>
  <c r="G3" i="5"/>
  <c r="G67" i="5"/>
  <c r="G9" i="5"/>
  <c r="G89" i="5"/>
  <c r="G75" i="5"/>
  <c r="G24" i="5"/>
  <c r="G13" i="5"/>
  <c r="G7" i="5"/>
  <c r="G23" i="5"/>
  <c r="G52" i="5"/>
  <c r="G90" i="5"/>
  <c r="G68" i="5"/>
  <c r="G10" i="5"/>
  <c r="G40" i="5"/>
  <c r="G56" i="5"/>
  <c r="G11" i="5"/>
  <c r="G18" i="5"/>
  <c r="G12" i="5"/>
  <c r="G27" i="5"/>
  <c r="G29" i="5"/>
  <c r="G88" i="5"/>
  <c r="G70" i="5"/>
  <c r="G36" i="5"/>
  <c r="G91" i="5"/>
  <c r="G78" i="5"/>
  <c r="G54" i="5"/>
  <c r="G49" i="5"/>
  <c r="G5" i="5"/>
  <c r="G4" i="5"/>
  <c r="G99" i="5"/>
  <c r="G97" i="5"/>
  <c r="G83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G80" i="5"/>
  <c r="G79" i="5"/>
  <c r="G50" i="5"/>
  <c r="G51" i="5"/>
  <c r="G65" i="5"/>
  <c r="G84" i="5"/>
  <c r="G37" i="5"/>
  <c r="G20" i="5"/>
  <c r="G22" i="5"/>
  <c r="G41" i="5"/>
  <c r="G38" i="5"/>
  <c r="G31" i="5"/>
  <c r="G72" i="5"/>
  <c r="G16" i="5"/>
  <c r="G96" i="5"/>
  <c r="G98" i="5"/>
  <c r="G94" i="5"/>
  <c r="G44" i="5"/>
  <c r="G21" i="5"/>
  <c r="G82" i="5"/>
  <c r="G35" i="5"/>
  <c r="G74" i="5"/>
  <c r="G14" i="5"/>
  <c r="G15" i="5"/>
  <c r="G17" i="5"/>
  <c r="G48" i="5"/>
  <c r="G34" i="5"/>
  <c r="G25" i="5"/>
  <c r="G2" i="5"/>
  <c r="G100" i="5"/>
  <c r="G42" i="5"/>
  <c r="G55" i="5"/>
  <c r="G32" i="5"/>
  <c r="G45" i="5"/>
  <c r="G85" i="5"/>
  <c r="G19" i="5"/>
  <c r="G95" i="5"/>
  <c r="G47" i="5"/>
  <c r="G26" i="5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64" i="5"/>
  <c r="F33" i="5"/>
  <c r="F69" i="5"/>
  <c r="F60" i="5"/>
  <c r="F45" i="5"/>
  <c r="F37" i="5"/>
  <c r="F27" i="5"/>
  <c r="F95" i="5"/>
  <c r="F8" i="5"/>
  <c r="F96" i="5"/>
  <c r="F39" i="5"/>
  <c r="F86" i="5"/>
  <c r="F51" i="5"/>
  <c r="F56" i="5"/>
  <c r="F7" i="5"/>
  <c r="F100" i="5"/>
  <c r="F30" i="5"/>
  <c r="F99" i="5"/>
  <c r="F25" i="5"/>
  <c r="F58" i="5"/>
  <c r="F19" i="5"/>
  <c r="F66" i="5"/>
  <c r="F20" i="5"/>
  <c r="F65" i="5"/>
  <c r="F17" i="5"/>
  <c r="F5" i="5"/>
  <c r="F14" i="5"/>
  <c r="F77" i="5"/>
  <c r="F6" i="5"/>
  <c r="F13" i="5"/>
  <c r="F41" i="5"/>
  <c r="F97" i="5"/>
  <c r="F29" i="5"/>
  <c r="F83" i="5"/>
  <c r="F92" i="5"/>
  <c r="F46" i="5"/>
  <c r="F78" i="5"/>
  <c r="F12" i="5"/>
  <c r="F57" i="5"/>
  <c r="F2" i="5"/>
  <c r="F76" i="5"/>
  <c r="F31" i="5"/>
  <c r="F32" i="5"/>
  <c r="F90" i="5"/>
  <c r="F82" i="5"/>
  <c r="F101" i="5"/>
  <c r="F35" i="5"/>
  <c r="F18" i="5"/>
  <c r="F15" i="5"/>
  <c r="F52" i="5"/>
  <c r="F28" i="5"/>
  <c r="F3" i="5"/>
  <c r="F38" i="5"/>
  <c r="F24" i="5"/>
  <c r="F42" i="5"/>
  <c r="F89" i="5"/>
  <c r="F79" i="5"/>
  <c r="F63" i="5"/>
  <c r="F36" i="5"/>
  <c r="F9" i="5"/>
  <c r="F67" i="5"/>
  <c r="F91" i="5"/>
  <c r="F87" i="5"/>
  <c r="F23" i="5"/>
  <c r="F70" i="5"/>
  <c r="F54" i="5"/>
  <c r="F98" i="5"/>
  <c r="F48" i="5"/>
  <c r="F72" i="5"/>
  <c r="F4" i="5"/>
  <c r="F11" i="5"/>
  <c r="F71" i="5"/>
  <c r="F93" i="5"/>
  <c r="F10" i="5"/>
  <c r="F61" i="5"/>
  <c r="F43" i="5"/>
  <c r="F75" i="5"/>
  <c r="F80" i="5"/>
  <c r="F81" i="5"/>
  <c r="F34" i="5"/>
  <c r="F68" i="5"/>
  <c r="F73" i="5"/>
  <c r="F62" i="5"/>
  <c r="F53" i="5"/>
  <c r="F22" i="5"/>
  <c r="F84" i="5"/>
  <c r="F85" i="5"/>
  <c r="F50" i="5"/>
  <c r="F44" i="5"/>
  <c r="F26" i="5"/>
  <c r="F74" i="5"/>
  <c r="F59" i="5"/>
  <c r="F16" i="5"/>
  <c r="F40" i="5"/>
  <c r="F88" i="5"/>
  <c r="F49" i="5"/>
  <c r="F55" i="5"/>
  <c r="F94" i="5"/>
  <c r="F21" i="5"/>
  <c r="F47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62" i="5"/>
  <c r="H54" i="5"/>
  <c r="H45" i="5"/>
  <c r="H33" i="5"/>
  <c r="H99" i="5"/>
  <c r="H95" i="5"/>
  <c r="H4" i="5"/>
  <c r="H34" i="5"/>
  <c r="H28" i="5"/>
  <c r="H26" i="5"/>
  <c r="H69" i="5"/>
  <c r="H88" i="5"/>
  <c r="H57" i="5"/>
  <c r="H91" i="5"/>
  <c r="H27" i="5"/>
  <c r="H3" i="5"/>
  <c r="H46" i="5"/>
  <c r="H82" i="5"/>
  <c r="H11" i="5"/>
  <c r="H66" i="5"/>
  <c r="H30" i="5"/>
  <c r="H93" i="5"/>
  <c r="H51" i="5"/>
  <c r="H87" i="5"/>
  <c r="H60" i="5"/>
  <c r="H17" i="5"/>
  <c r="H86" i="5"/>
  <c r="H68" i="5"/>
  <c r="H41" i="5"/>
  <c r="H21" i="5"/>
  <c r="H2" i="5"/>
  <c r="H81" i="5"/>
  <c r="H9" i="5"/>
  <c r="H90" i="5"/>
  <c r="H20" i="5"/>
  <c r="H67" i="5"/>
  <c r="H59" i="5"/>
  <c r="H96" i="5"/>
  <c r="H10" i="5"/>
  <c r="H35" i="5"/>
  <c r="H80" i="5"/>
  <c r="H39" i="5"/>
  <c r="H100" i="5"/>
  <c r="H16" i="5"/>
  <c r="H84" i="5"/>
  <c r="H58" i="5"/>
  <c r="H24" i="5"/>
  <c r="H78" i="5"/>
  <c r="H77" i="5"/>
  <c r="H64" i="5"/>
  <c r="H65" i="5"/>
  <c r="H44" i="5"/>
  <c r="H97" i="5"/>
  <c r="H92" i="5"/>
  <c r="H61" i="5"/>
  <c r="H18" i="5"/>
  <c r="H22" i="5"/>
  <c r="H40" i="5"/>
  <c r="H70" i="5"/>
  <c r="H32" i="5"/>
  <c r="H29" i="5"/>
  <c r="H43" i="5"/>
  <c r="H8" i="5"/>
  <c r="H23" i="5"/>
  <c r="H37" i="5"/>
  <c r="H47" i="5"/>
  <c r="H25" i="5"/>
  <c r="H83" i="5"/>
  <c r="H53" i="5"/>
  <c r="H12" i="5"/>
  <c r="H15" i="5"/>
  <c r="H48" i="5"/>
  <c r="H71" i="5"/>
  <c r="H85" i="5"/>
  <c r="H6" i="5"/>
  <c r="H94" i="5"/>
  <c r="H31" i="5"/>
  <c r="H79" i="5"/>
  <c r="H55" i="5"/>
  <c r="H76" i="5"/>
  <c r="H14" i="5"/>
  <c r="H5" i="5"/>
  <c r="H73" i="5"/>
  <c r="H98" i="5"/>
  <c r="H101" i="5"/>
  <c r="H38" i="5"/>
  <c r="H72" i="5"/>
  <c r="H56" i="5"/>
  <c r="H89" i="5"/>
  <c r="H49" i="5"/>
  <c r="H42" i="5"/>
  <c r="H63" i="5"/>
  <c r="H7" i="5"/>
  <c r="H52" i="5"/>
  <c r="H13" i="5"/>
  <c r="H75" i="5"/>
  <c r="H74" i="5"/>
  <c r="H19" i="5"/>
  <c r="H36" i="5"/>
  <c r="H50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66" i="5"/>
  <c r="I92" i="5"/>
  <c r="I55" i="5"/>
  <c r="I45" i="5"/>
  <c r="I41" i="5"/>
  <c r="I73" i="5"/>
  <c r="I8" i="5"/>
  <c r="I23" i="5"/>
  <c r="I99" i="5"/>
  <c r="I80" i="5"/>
  <c r="I30" i="5"/>
  <c r="I57" i="5"/>
  <c r="I7" i="5"/>
  <c r="I61" i="5"/>
  <c r="I15" i="5"/>
  <c r="I9" i="5"/>
  <c r="I100" i="5"/>
  <c r="I17" i="5"/>
  <c r="I43" i="5"/>
  <c r="I79" i="5"/>
  <c r="I97" i="5"/>
  <c r="I95" i="5"/>
  <c r="I19" i="5"/>
  <c r="I34" i="5"/>
  <c r="I70" i="5"/>
  <c r="I12" i="5"/>
  <c r="I50" i="5"/>
  <c r="I91" i="5"/>
  <c r="I77" i="5"/>
  <c r="I22" i="5"/>
  <c r="I89" i="5"/>
  <c r="I76" i="5"/>
  <c r="I36" i="5"/>
  <c r="I44" i="5"/>
  <c r="I78" i="5"/>
  <c r="I82" i="5"/>
  <c r="I38" i="5"/>
  <c r="I72" i="5"/>
  <c r="I56" i="5"/>
  <c r="I18" i="5"/>
  <c r="I33" i="5"/>
  <c r="I16" i="5"/>
  <c r="I88" i="5"/>
  <c r="I64" i="5"/>
  <c r="I54" i="5"/>
  <c r="I35" i="5"/>
  <c r="I59" i="5"/>
  <c r="I67" i="5"/>
  <c r="I65" i="5"/>
  <c r="I96" i="5"/>
  <c r="I49" i="5"/>
  <c r="I86" i="5"/>
  <c r="I47" i="5"/>
  <c r="I75" i="5"/>
  <c r="I24" i="5"/>
  <c r="I27" i="5"/>
  <c r="I68" i="5"/>
  <c r="I81" i="5"/>
  <c r="I32" i="5"/>
  <c r="I2" i="5"/>
  <c r="I63" i="5"/>
  <c r="I4" i="5"/>
  <c r="I31" i="5"/>
  <c r="I48" i="5"/>
  <c r="I11" i="5"/>
  <c r="I42" i="5"/>
  <c r="I101" i="5"/>
  <c r="I10" i="5"/>
  <c r="I28" i="5"/>
  <c r="I51" i="5"/>
  <c r="I39" i="5"/>
  <c r="I37" i="5"/>
  <c r="I69" i="5"/>
  <c r="I83" i="5"/>
  <c r="I93" i="5"/>
  <c r="I25" i="5"/>
  <c r="I90" i="5"/>
  <c r="I87" i="5"/>
  <c r="I13" i="5"/>
  <c r="I85" i="5"/>
  <c r="I29" i="5"/>
  <c r="I71" i="5"/>
  <c r="I14" i="5"/>
  <c r="I3" i="5"/>
  <c r="I5" i="5"/>
  <c r="I53" i="5"/>
  <c r="I62" i="5"/>
  <c r="I6" i="5"/>
  <c r="I84" i="5"/>
  <c r="I98" i="5"/>
  <c r="I52" i="5"/>
  <c r="I46" i="5"/>
  <c r="I58" i="5"/>
  <c r="I60" i="5"/>
  <c r="I21" i="5"/>
  <c r="I20" i="5"/>
  <c r="I94" i="5"/>
  <c r="I26" i="5"/>
  <c r="I74" i="5"/>
  <c r="I40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7" i="5"/>
  <c r="E71" i="5"/>
  <c r="E85" i="5"/>
  <c r="E59" i="5"/>
  <c r="E82" i="5"/>
  <c r="E29" i="5"/>
  <c r="E32" i="5"/>
  <c r="E55" i="5"/>
  <c r="E49" i="5"/>
  <c r="E37" i="5"/>
  <c r="E68" i="5"/>
  <c r="E40" i="5"/>
  <c r="E30" i="5"/>
  <c r="E45" i="5"/>
  <c r="E26" i="5"/>
  <c r="E84" i="5"/>
  <c r="E78" i="5"/>
  <c r="E4" i="5"/>
  <c r="E73" i="5"/>
  <c r="E91" i="5"/>
  <c r="E12" i="5"/>
  <c r="E43" i="5"/>
  <c r="E89" i="5"/>
  <c r="E46" i="5"/>
  <c r="E53" i="5"/>
  <c r="E41" i="5"/>
  <c r="E76" i="5"/>
  <c r="E57" i="5"/>
  <c r="E48" i="5"/>
  <c r="E88" i="5"/>
  <c r="E92" i="5"/>
  <c r="E65" i="5"/>
  <c r="E64" i="5"/>
  <c r="E13" i="5"/>
  <c r="E75" i="5"/>
  <c r="E35" i="5"/>
  <c r="E99" i="5"/>
  <c r="E63" i="5"/>
  <c r="E54" i="5"/>
  <c r="E20" i="5"/>
  <c r="E7" i="5"/>
  <c r="E83" i="5"/>
  <c r="E36" i="5"/>
  <c r="E21" i="5"/>
  <c r="E97" i="5"/>
  <c r="E74" i="5"/>
  <c r="E69" i="5"/>
  <c r="E70" i="5"/>
  <c r="E23" i="5"/>
  <c r="E14" i="5"/>
  <c r="E8" i="5"/>
  <c r="E94" i="5"/>
  <c r="E58" i="5"/>
  <c r="E22" i="5"/>
  <c r="E3" i="5"/>
  <c r="E79" i="5"/>
  <c r="E98" i="5"/>
  <c r="E87" i="5"/>
  <c r="E15" i="5"/>
  <c r="E93" i="5"/>
  <c r="E62" i="5"/>
  <c r="E18" i="5"/>
  <c r="E44" i="5"/>
  <c r="E16" i="5"/>
  <c r="E56" i="5"/>
  <c r="E66" i="5"/>
  <c r="E28" i="5"/>
  <c r="E42" i="5"/>
  <c r="E95" i="5"/>
  <c r="E72" i="5"/>
  <c r="E90" i="5"/>
  <c r="E67" i="5"/>
  <c r="E96" i="5"/>
  <c r="E9" i="5"/>
  <c r="E51" i="5"/>
  <c r="E33" i="5"/>
  <c r="E101" i="5"/>
  <c r="E50" i="5"/>
  <c r="E5" i="5"/>
  <c r="E60" i="5"/>
  <c r="E2" i="5"/>
  <c r="E11" i="5"/>
  <c r="E19" i="5"/>
  <c r="E77" i="5"/>
  <c r="E39" i="5"/>
  <c r="E47" i="5"/>
  <c r="E31" i="5"/>
  <c r="E38" i="5"/>
  <c r="E80" i="5"/>
  <c r="E6" i="5"/>
  <c r="E17" i="5"/>
  <c r="E86" i="5"/>
  <c r="E24" i="5"/>
  <c r="E34" i="5"/>
  <c r="E61" i="5"/>
  <c r="E81" i="5"/>
  <c r="E25" i="5"/>
  <c r="E52" i="5"/>
  <c r="E100" i="5"/>
  <c r="E1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<sst xmlns="http://schemas.openxmlformats.org/spreadsheetml/2006/main" count="355" uniqueCount="261">
  <si>
    <t>^</t>
  </si>
  <si>
    <t>KANBAN</t>
  </si>
  <si>
    <t>COMPLETADO</t>
  </si>
  <si>
    <t>IMPORTANTE</t>
  </si>
  <si>
    <t>Sprint 0: REQ001-1</t>
  </si>
  <si>
    <t>Construcción de interfaz FormularioLogin.</t>
  </si>
  <si>
    <t>Kerlly Chiriboga</t>
  </si>
  <si>
    <t>Sprint 0: REQ001-2</t>
  </si>
  <si>
    <t>Implementación de métodos y control de registro.</t>
  </si>
  <si>
    <t>Carlos Caiza</t>
  </si>
  <si>
    <t>Sprint 0: REQ001-3</t>
  </si>
  <si>
    <t>Control de seguridad: Bloqueo de cuenta tras 3 intentos fallidos por 5 minutos.</t>
  </si>
  <si>
    <t>Alexander Villacres</t>
  </si>
  <si>
    <t>Sprint 0: REQ002-1</t>
  </si>
  <si>
    <t>Diseño de InterfazPedidoMesa.</t>
  </si>
  <si>
    <t>Implementar métodos tomarPedidoEnMesa() en el ControlRegistroPedido.</t>
  </si>
  <si>
    <t>Sprint 0: REQ002-3</t>
  </si>
  <si>
    <t>Lógica de validación: validarDatosDelPedido() (mínimo 1 producto del Menu).</t>
  </si>
  <si>
    <t>Sprint 1: REQ003-1</t>
  </si>
  <si>
    <t>Interfaz InterfazPedidoTel con campos para teléfono y dirección.</t>
  </si>
  <si>
    <t>Sprint 1: REQ003-2</t>
  </si>
  <si>
    <t>Método validarClienteExistente(tel) para recuperar datos de la entidad Cliente</t>
  </si>
  <si>
    <t>Sprint 1: REQ003-3</t>
  </si>
  <si>
    <t>Integración final del RepositorioPedidos para persistencia de datos</t>
  </si>
  <si>
    <t>Sprint 1: REQ004-1</t>
  </si>
  <si>
    <t>Construcción de la interfaz de pedido móvil con QR</t>
  </si>
  <si>
    <t>Sprint 1: REQ004-2</t>
  </si>
  <si>
    <t>Implementación de la lógica leerCodigoQR(mesaID) para identificar la ubicación del cliente.</t>
  </si>
  <si>
    <t>Sprint 1: REQ004-3</t>
  </si>
  <si>
    <t xml:space="preserve">Desarrollo de la funcionalidad presentarMenuDigital() consultando los ítems de la entidad Menu. </t>
  </si>
  <si>
    <t>EN ESPERA</t>
  </si>
  <si>
    <t>Sprint 1: REQ004-4</t>
  </si>
  <si>
    <t>Programación del método realizarPedidoPorQR() en el objeto ControlRegistroPedido.</t>
  </si>
  <si>
    <t>Sprint 1: REQ004-5</t>
  </si>
  <si>
    <t>Implementación del flujo de confirmación: validarDatosDelPedido() y generación de ticket digital.</t>
  </si>
  <si>
    <t>EN PROGRESO</t>
  </si>
  <si>
    <t>Sprint 2: REQ005-1</t>
  </si>
  <si>
    <t>Implementar la interfaz para el Cocinero que permita visualizar la lista de pedidos pendientes recuperados del RepositorioPedidos</t>
  </si>
  <si>
    <t>Sprint 2: REQ005-2</t>
  </si>
  <si>
    <t>Implementación de métodos en ControlRegistroPedido, permitiendo la transición entre estados (pendiente, en preparación, listo)</t>
  </si>
  <si>
    <t>POR HACER</t>
  </si>
  <si>
    <t>Sprint 3: REQ006-1</t>
  </si>
  <si>
    <t>Implementar la interfaz del Cajero para buscar pedidos por número de mesa</t>
  </si>
  <si>
    <t>Sprint 3: REQ006-2</t>
  </si>
  <si>
    <t>Desarrollar las funcionalidades para registrar el pago permitiendo seleccionar el método de pago y marcar el pedido como "pagado" para habilitar su entrega</t>
  </si>
  <si>
    <t>Sprint 2: REQ007-1</t>
  </si>
  <si>
    <t>Desarrollo de la interfaz de consulta para el Cliente vinculada al QR de cada mesa</t>
  </si>
  <si>
    <t>Sprint 2: REQ007-2</t>
  </si>
  <si>
    <t>Implementación de la lógica para consultar estado en el controlador para mostrar al usuario el progreso de su orden en tiempo real</t>
  </si>
  <si>
    <t>Sprint 3: REQ008-1</t>
  </si>
  <si>
    <t>Construcción del panel administrativo para gestionar menu, precios, disponibilidad</t>
  </si>
  <si>
    <t>Sprint 3: REQ008-2</t>
  </si>
  <si>
    <t>Implementación de la gestión de códigos QR por mesa y la generación de reportes básicos de ventas para el control del negocio</t>
  </si>
  <si>
    <t>NORMAL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</si>
  <si>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</si>
  <si>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</si>
  <si>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</si>
  <si>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</si>
  <si>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</si>
  <si>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</si>
  <si>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</si>
  <si>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URGENTE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</si>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</sst>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4" fillId="17" borderId="37" xfId="0" applyFont="1" applyFill="1" applyBorder="1" applyAlignment="1">
      <alignment vertical="center" wrapText="1"/>
    </xf>
    <xf numFmtId="0" fontId="0" fillId="0" borderId="34" xfId="0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20" activePane="bottomLeft" state="frozen"/>
      <selection pane="bottomLeft" activeCell="D17" sqref="D17:E17"/>
    </sheetView>
  </sheetViews>
  <sheetFormatPr baseColWidth="10" defaultColWidth="0" defaultRowHeight="14.5" zeroHeight="1" x14ac:dyDescent="0.35"/>
  <cols>
    <col min="1" max="2" width="2.54296875" style="2" customWidth="1"/>
    <col min="3" max="3" width="10.54296875" style="12" customWidth="1"/>
    <col min="4" max="5" width="15.54296875" style="12" customWidth="1"/>
    <col min="6" max="7" width="2.54296875" style="2" customWidth="1"/>
    <col min="8" max="8" width="10.54296875" style="12" customWidth="1"/>
    <col min="9" max="10" width="15.54296875" style="12" customWidth="1"/>
    <col min="11" max="12" width="2.54296875" style="2" customWidth="1"/>
    <col min="13" max="13" width="10.54296875" style="12" customWidth="1"/>
    <col min="14" max="15" width="15.54296875" style="12" customWidth="1"/>
    <col min="16" max="17" width="2.54296875" style="2" customWidth="1"/>
    <col min="18" max="18" width="10.54296875" style="12" customWidth="1"/>
    <col min="19" max="20" width="15.54296875" style="12" customWidth="1"/>
    <col min="21" max="22" width="2.54296875" style="2" customWidth="1"/>
    <col min="23" max="23" width="10.54296875" style="12" customWidth="1"/>
    <col min="24" max="25" width="15.54296875" style="12" customWidth="1"/>
    <col min="26" max="27" width="2.54296875" style="2" customWidth="1"/>
    <col min="28" max="28" width="10.54296875" style="12" customWidth="1"/>
    <col min="29" max="30" width="15.54296875" style="12" customWidth="1"/>
    <col min="31" max="32" width="2.54296875" style="2" customWidth="1"/>
    <col min="33" max="33" width="10.54296875" style="12" customWidth="1"/>
    <col min="34" max="35" width="15.54296875" style="12" customWidth="1"/>
    <col min="36" max="37" width="2.54296875" style="2" customWidth="1"/>
    <col min="38" max="38" width="10.54296875" style="12" customWidth="1"/>
    <col min="39" max="40" width="15.54296875" style="12" customWidth="1"/>
    <col min="41" max="42" width="2.54296875" style="2" customWidth="1"/>
    <col min="43" max="43" width="10.54296875" style="12" customWidth="1"/>
    <col min="44" max="45" width="15.54296875" style="12" customWidth="1"/>
    <col min="46" max="47" width="2.54296875" style="2" customWidth="1"/>
    <col min="48" max="48" width="10.54296875" style="12" customWidth="1"/>
    <col min="49" max="50" width="15.54296875" style="12" customWidth="1"/>
    <col min="51" max="52" width="2.54296875" style="2" customWidth="1"/>
    <col min="53" max="16384" width="10.81640625" style="2" hidden="1"/>
  </cols>
  <sheetData>
    <row r="1" spans="2:51" ht="15" thickBot="1" x14ac:dyDescent="0.4"/>
    <row r="2" spans="2:51" ht="15" thickBot="1" x14ac:dyDescent="0.4">
      <c r="B2" s="115" t="str">
        <f>Configura!$B$2</f>
        <v xml:space="preserve">                Tablero KANBAN v3 ©️            </v>
      </c>
      <c r="C2" s="115"/>
      <c r="D2" s="115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46182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4"/>
    <row r="4" spans="2:51" ht="21.5" thickBot="1" x14ac:dyDescent="0.4">
      <c r="B4" s="26">
        <v>1</v>
      </c>
      <c r="C4" s="114" t="str" cm="1">
        <f t="array" aca="1" ref="C4" ca="1">IFERROR(INDEX(Configura!$B$9:$B$18,B4)&amp;" ("&amp;SUMIF(misEstados,B4,misFiltros)&amp;" de "&amp;SUM(misFiltros)&amp;")","")</f>
        <v>POR HACER (3 de 23)</v>
      </c>
      <c r="D4" s="114"/>
      <c r="E4" s="114"/>
      <c r="F4" s="9" t="s">
        <v>0</v>
      </c>
      <c r="G4" s="25">
        <f>B4+1</f>
        <v>2</v>
      </c>
      <c r="H4" s="114" t="str" cm="1">
        <f t="array" aca="1" ref="H4" ca="1">IFERROR(INDEX(Configura!$B$9:$B$18,G4)&amp;" ("&amp;SUMIF(misEstados,G4,misFiltros)&amp;" de "&amp;SUM(misFiltros)&amp;")","")</f>
        <v>EN PROGRESO (5 de 23)</v>
      </c>
      <c r="I4" s="114"/>
      <c r="J4" s="114"/>
      <c r="K4" s="9" t="s">
        <v>0</v>
      </c>
      <c r="L4" s="25">
        <f>G4+1</f>
        <v>3</v>
      </c>
      <c r="M4" s="114" t="str" cm="1">
        <f t="array" aca="1" ref="M4" ca="1">IFERROR(INDEX(Configura!$B$9:$B$18,L4)&amp;" ("&amp;SUMIF(misEstados,L4,misFiltros)&amp;" de "&amp;SUM(misFiltros)&amp;")","")</f>
        <v>EN ESPERA (2 de 23)</v>
      </c>
      <c r="N4" s="114"/>
      <c r="O4" s="114"/>
      <c r="P4" s="9" t="s">
        <v>0</v>
      </c>
      <c r="Q4" s="25">
        <f>L4+1</f>
        <v>4</v>
      </c>
      <c r="R4" s="114" t="str" cm="1">
        <f t="array" aca="1" ref="R4" ca="1">IFERROR(INDEX(Configura!$B$9:$B$18,Q4)&amp;" ("&amp;SUMIF(misEstados,Q4,misFiltros)&amp;" de "&amp;SUM(misFiltros)&amp;")","")</f>
        <v>COMPLETADO (12 de 23)</v>
      </c>
      <c r="S4" s="114"/>
      <c r="T4" s="114"/>
      <c r="U4" s="9" t="s">
        <v>0</v>
      </c>
      <c r="V4" s="25">
        <f>Q4+1</f>
        <v>5</v>
      </c>
      <c r="W4" s="114" t="str" cm="1">
        <f t="array" aca="1" ref="W4" ca="1">IFERROR(INDEX(Configura!$B$9:$B$18,V4)&amp;" ("&amp;SUMIF(misEstados,V4,misFiltros)&amp;" de "&amp;SUM(misFiltros)&amp;")","")</f>
        <v>ARCHIVADO (1 de 23)</v>
      </c>
      <c r="X4" s="114"/>
      <c r="Y4" s="114"/>
      <c r="Z4" s="10" t="s">
        <v>0</v>
      </c>
      <c r="AA4" s="25">
        <f>V4+1</f>
        <v>6</v>
      </c>
      <c r="AB4" s="114" t="str" cm="1">
        <f t="array" aca="1" ref="AB4" ca="1">IFERROR(INDEX(Configura!$B$9:$B$18,AA4)&amp;" ("&amp;SUMIF(misEstados,AA4,misFiltros)&amp;" de "&amp;SUM(misFiltros)&amp;")","")</f>
        <v>POR HACER (0 de 23)</v>
      </c>
      <c r="AC4" s="114"/>
      <c r="AD4" s="114"/>
      <c r="AE4" s="10" t="s">
        <v>0</v>
      </c>
      <c r="AF4" s="25">
        <f>AA4+1</f>
        <v>7</v>
      </c>
      <c r="AG4" s="114" t="str" cm="1">
        <f t="array" aca="1" ref="AG4" ca="1">IFERROR(INDEX(Configura!$B$9:$B$18,AF4)&amp;" ("&amp;SUMIF(misEstados,AF4,misFiltros)&amp;" de "&amp;SUM(misFiltros)&amp;")","")</f>
        <v>EN PROGRESO (0 de 23)</v>
      </c>
      <c r="AH4" s="114"/>
      <c r="AI4" s="114"/>
      <c r="AJ4" s="10" t="s">
        <v>0</v>
      </c>
      <c r="AK4" s="25">
        <f>AF4+1</f>
        <v>8</v>
      </c>
      <c r="AL4" s="114" t="str" cm="1">
        <f t="array" aca="1" ref="AL4" ca="1">IFERROR(INDEX(Configura!$B$9:$B$18,AK4)&amp;" ("&amp;SUMIF(misEstados,AK4,misFiltros)&amp;" de "&amp;SUM(misFiltros)&amp;")","")</f>
        <v xml:space="preserve"> (0 de 23)</v>
      </c>
      <c r="AM4" s="114"/>
      <c r="AN4" s="114"/>
      <c r="AO4" s="10" t="s">
        <v>0</v>
      </c>
      <c r="AP4" s="25">
        <f>AK4+1</f>
        <v>9</v>
      </c>
      <c r="AQ4" s="114" t="str" cm="1">
        <f t="array" aca="1" ref="AQ4" ca="1">IFERROR(INDEX(Configura!$B$9:$B$18,AP4)&amp;" ("&amp;SUMIF(misEstados,AP4,misFiltros)&amp;" de "&amp;SUM(misFiltros)&amp;")","")</f>
        <v xml:space="preserve"> (0 de 23)</v>
      </c>
      <c r="AR4" s="114"/>
      <c r="AS4" s="114"/>
      <c r="AT4" s="10" t="s">
        <v>0</v>
      </c>
      <c r="AU4" s="25">
        <f>AP4+1</f>
        <v>10</v>
      </c>
      <c r="AV4" s="114" t="str" cm="1">
        <f t="array" aca="1" ref="AV4" ca="1">IFERROR(INDEX(Configura!$B$9:$B$18,AU4)&amp;" ("&amp;SUMIF(misEstados,AU4,misFiltros)&amp;" de "&amp;SUM(misFiltros)&amp;")","")</f>
        <v xml:space="preserve"> (0 de 23)</v>
      </c>
      <c r="AW4" s="114"/>
      <c r="AX4" s="114"/>
      <c r="AY4" s="10" t="s">
        <v>0</v>
      </c>
    </row>
    <row r="5" spans="2:51" ht="15" thickTop="1" x14ac:dyDescent="0.3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22:</v>
      </c>
      <c r="D6" s="112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Sprint 3: REQ008-2</v>
      </c>
      <c r="E6" s="112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21:</v>
      </c>
      <c r="I6" s="112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Sprint 3: REQ008-1</v>
      </c>
      <c r="J6" s="112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14:</v>
      </c>
      <c r="N6" s="112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Sprint 1: REQ004-5</v>
      </c>
      <c r="O6" s="112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12:</v>
      </c>
      <c r="S6" s="112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Sprint 1: REQ004-3</v>
      </c>
      <c r="T6" s="112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2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12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2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2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2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2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2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2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2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2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2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2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12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Implementación de la gestión de códigos QR por mesa y la generación de reportes básicos de ventas para el control del negocio</v>
      </c>
      <c r="E7" s="112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2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Construcción del panel administrativo para gestionar menu, precios, disponibilidad</v>
      </c>
      <c r="J7" s="112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2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Implementación del flujo de confirmación: validarDatosDelPedido() y generación de ticket digital.</v>
      </c>
      <c r="O7" s="112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2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Desarrollo de la funcionalidad presentarMenuDigital() consultando los ítems de la entidad Menu. </v>
      </c>
      <c r="T7" s="112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2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12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2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2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2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2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2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2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2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2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2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2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12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46209</v>
      </c>
      <c r="E8" s="112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2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46209</v>
      </c>
      <c r="J8" s="112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2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46195</v>
      </c>
      <c r="O8" s="112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2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46195</v>
      </c>
      <c r="T8" s="112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2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12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2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2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2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2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2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2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2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2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2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2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12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46216</v>
      </c>
      <c r="E9" s="112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2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46216</v>
      </c>
      <c r="J9" s="112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2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46198</v>
      </c>
      <c r="O9" s="112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2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46198</v>
      </c>
      <c r="T9" s="112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2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12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2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2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2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2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2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2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2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2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2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2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12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46216</v>
      </c>
      <c r="E10" s="112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2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46216</v>
      </c>
      <c r="J10" s="112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2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46198</v>
      </c>
      <c r="O10" s="112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2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46198</v>
      </c>
      <c r="T10" s="112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2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12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2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2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2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2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2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2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2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2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2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2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12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8 días</v>
      </c>
      <c r="E11" s="112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2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8 días</v>
      </c>
      <c r="J11" s="112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2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4 días</v>
      </c>
      <c r="O11" s="112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2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12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2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2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2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2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2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2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2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2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2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2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2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2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12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12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2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2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2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2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2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2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2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2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2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2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2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2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2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2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2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2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2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2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12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Carlos Caiza</v>
      </c>
      <c r="E13" s="112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2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Kerlly Chiriboga</v>
      </c>
      <c r="J13" s="112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2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Carlos Caiza</v>
      </c>
      <c r="O13" s="112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2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Alexander Villacres</v>
      </c>
      <c r="T13" s="112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2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12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2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2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2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2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2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2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2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2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2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2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2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2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2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2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2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2" t="e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>#VALUE!</v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2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2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2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2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2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2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2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2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2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2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2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2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2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2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18:</v>
      </c>
      <c r="D15" s="112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Sprint 3: REQ006-2</v>
      </c>
      <c r="E15" s="112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20:</v>
      </c>
      <c r="I15" s="112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Sprint 2: REQ007-2</v>
      </c>
      <c r="J15" s="112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>Tarea 13:</v>
      </c>
      <c r="N15" s="112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>Sprint 1: REQ004-4</v>
      </c>
      <c r="O15" s="112" t="e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>#VALUE!</v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12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Sprint 1: REQ004-2</v>
      </c>
      <c r="T15" s="112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2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2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2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2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2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2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2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2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2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2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2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2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12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Desarrollar las funcionalidades para registrar el pago permitiendo seleccionar el método de pago y marcar el pedido como "pagado" para habilitar su entrega</v>
      </c>
      <c r="E16" s="112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2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Implementación de la lógica para consultar estado en el controlador para mostrar al usuario el progreso de su orden en tiempo real</v>
      </c>
      <c r="J16" s="112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>Descripción:</v>
      </c>
      <c r="N16" s="112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>Programación del método realizarPedidoPorQR() en el objeto ControlRegistroPedido.</v>
      </c>
      <c r="O16" s="112" t="e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>#VALUE!</v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2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Implementación de la lógica leerCodigoQR(mesaID) para identificar la ubicación del cliente.</v>
      </c>
      <c r="T16" s="112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2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2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2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2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2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2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2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2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2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2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2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2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12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46209</v>
      </c>
      <c r="E17" s="112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2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46200</v>
      </c>
      <c r="J17" s="112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>Inicio:</v>
      </c>
      <c r="N17" s="112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>46195</v>
      </c>
      <c r="O17" s="112" t="e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>#VALUE!</v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2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46195</v>
      </c>
      <c r="T17" s="112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2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2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2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2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2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2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2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2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2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2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2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2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12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46216</v>
      </c>
      <c r="E18" s="112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2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46207</v>
      </c>
      <c r="J18" s="112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>Previsto:</v>
      </c>
      <c r="N18" s="112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>46198</v>
      </c>
      <c r="O18" s="112" t="e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>#VALUE!</v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2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46198</v>
      </c>
      <c r="T18" s="112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2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2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2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2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2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2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2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2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2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2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2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2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12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46216</v>
      </c>
      <c r="E19" s="112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2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46207</v>
      </c>
      <c r="J19" s="112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>Final:</v>
      </c>
      <c r="N19" s="112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>46198</v>
      </c>
      <c r="O19" s="112" t="e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>#VALUE!</v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2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46198</v>
      </c>
      <c r="T19" s="112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2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2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2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2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2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2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2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2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2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2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2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2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12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8 días</v>
      </c>
      <c r="E20" s="112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2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8 días</v>
      </c>
      <c r="J20" s="112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>Duración:</v>
      </c>
      <c r="N20" s="112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>4 días</v>
      </c>
      <c r="O20" s="112" t="e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>#VALUE!</v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2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12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2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2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2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2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2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2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2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2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2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2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2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2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12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12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2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2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>Retraso:</v>
      </c>
      <c r="N21" s="112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>0 días</v>
      </c>
      <c r="O21" s="112" t="e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>#VALUE!</v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2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2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2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2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2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2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2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2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2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2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2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2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2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2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12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Kerlly Chiriboga</v>
      </c>
      <c r="E22" s="112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2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Alexander Villacres</v>
      </c>
      <c r="J22" s="112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>Asignado:</v>
      </c>
      <c r="N22" s="112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>Kerlly Chiriboga</v>
      </c>
      <c r="O22" s="112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2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Carlos Caiza</v>
      </c>
      <c r="T22" s="112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2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2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2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2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2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2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2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2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2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2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2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2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2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2" t="e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>#VALUE!</v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2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2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2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2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2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2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2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2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2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2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2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2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2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2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2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2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2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2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>Tarea 17:</v>
      </c>
      <c r="D24" s="112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>Sprint 3: REQ006-1</v>
      </c>
      <c r="E24" s="112" t="e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>#VALUE!</v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19:</v>
      </c>
      <c r="I24" s="112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Sprint 2: REQ007-1</v>
      </c>
      <c r="J24" s="112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2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2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12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Sprint 1: REQ004-1</v>
      </c>
      <c r="T24" s="112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2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2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2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2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2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2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2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2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2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2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2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2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>Descripción:</v>
      </c>
      <c r="D25" s="112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>Implementar la interfaz del Cajero para buscar pedidos por número de mesa</v>
      </c>
      <c r="E25" s="112" t="e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>#VALUE!</v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2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Desarrollo de la interfaz de consulta para el Cliente vinculada al QR de cada mesa</v>
      </c>
      <c r="J25" s="112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2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2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2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Construcción de la interfaz de pedido móvil con QR</v>
      </c>
      <c r="T25" s="112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2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2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2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2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2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2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2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2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2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2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2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2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>Inicio:</v>
      </c>
      <c r="D26" s="112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>46209</v>
      </c>
      <c r="E26" s="112" t="e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>#VALUE!</v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2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46200</v>
      </c>
      <c r="J26" s="112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2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2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2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46195</v>
      </c>
      <c r="T26" s="112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2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2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2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2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2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2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2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2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2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2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2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2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>Previsto:</v>
      </c>
      <c r="D27" s="112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>46216</v>
      </c>
      <c r="E27" s="112" t="e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>#VALUE!</v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2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46207</v>
      </c>
      <c r="J27" s="112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2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2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2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46198</v>
      </c>
      <c r="T27" s="112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2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2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2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2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2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2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2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2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2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2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2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2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>Final:</v>
      </c>
      <c r="D28" s="112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>46216</v>
      </c>
      <c r="E28" s="112" t="e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>#VALUE!</v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2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46207</v>
      </c>
      <c r="J28" s="112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2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2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2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46198</v>
      </c>
      <c r="T28" s="112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2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2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2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2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2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2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2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2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2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2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2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2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>Duración:</v>
      </c>
      <c r="D29" s="112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>8 días</v>
      </c>
      <c r="E29" s="112" t="e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>#VALUE!</v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2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8 días</v>
      </c>
      <c r="J29" s="112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2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2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2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2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2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2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2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2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2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2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2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2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2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2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2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2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>Retraso:</v>
      </c>
      <c r="D30" s="112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>0 días</v>
      </c>
      <c r="E30" s="112" t="e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>#VALUE!</v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2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2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2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2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2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2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2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2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2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2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2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2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2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2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2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2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2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2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>Asignado:</v>
      </c>
      <c r="D31" s="112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>Alexander Villacres</v>
      </c>
      <c r="E31" s="112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2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Carlos Caiza</v>
      </c>
      <c r="J31" s="112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2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2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2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Alexander Villacres</v>
      </c>
      <c r="T31" s="112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2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2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2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2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2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2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2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2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2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2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2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2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2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2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2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2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2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2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2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2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2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2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2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2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2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2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2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2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2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2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2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2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2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2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16:</v>
      </c>
      <c r="I33" s="112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Sprint 2: REQ005-2</v>
      </c>
      <c r="J33" s="112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2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2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12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Sprint 1: REQ003-3</v>
      </c>
      <c r="T33" s="112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2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2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2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2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2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2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2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2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2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2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2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2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2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2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2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Implementación de métodos en ControlRegistroPedido, permitiendo la transición entre estados (pendiente, en preparación, listo)</v>
      </c>
      <c r="J34" s="112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2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2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2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Integración final del RepositorioPedidos para persistencia de datos</v>
      </c>
      <c r="T34" s="112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2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2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2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2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2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2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2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2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2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2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2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2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2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2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2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46200</v>
      </c>
      <c r="J35" s="112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2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2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2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46191</v>
      </c>
      <c r="T35" s="112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2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2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2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2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2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2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2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2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2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2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2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2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2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2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2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46207</v>
      </c>
      <c r="J36" s="112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2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2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2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46194</v>
      </c>
      <c r="T36" s="112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2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2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2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2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2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2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2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2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2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2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2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2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2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2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2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46207</v>
      </c>
      <c r="J37" s="112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2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2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2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46194</v>
      </c>
      <c r="T37" s="112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2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2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2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2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2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2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2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2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2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2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2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2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2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2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2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8 días</v>
      </c>
      <c r="J38" s="112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2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2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2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12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2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2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2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2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2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2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2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2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2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2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2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2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2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2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2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2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2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2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2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2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2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2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2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2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2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2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2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2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2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2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2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2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2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2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2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Carlos Caiza</v>
      </c>
      <c r="J40" s="112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2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2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2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Alexander Villacres</v>
      </c>
      <c r="T40" s="112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2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2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2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2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2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2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2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2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2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2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2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2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2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2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2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2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2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2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2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2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2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2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2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2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2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2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2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2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2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2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2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2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2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2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15:</v>
      </c>
      <c r="I42" s="112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Sprint 2: REQ005-1</v>
      </c>
      <c r="J42" s="112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2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2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12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Sprint 1: REQ003-2</v>
      </c>
      <c r="T42" s="112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2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2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2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2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2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2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2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2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2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2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2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2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2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2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2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Implementar la interfaz para el Cocinero que permita visualizar la lista de pedidos pendientes recuperados del RepositorioPedidos</v>
      </c>
      <c r="J43" s="112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2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2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2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Método validarClienteExistente(tel) para recuperar datos de la entidad Cliente</v>
      </c>
      <c r="T43" s="112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2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2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2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2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2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2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2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2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2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2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2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2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2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2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2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46200</v>
      </c>
      <c r="J44" s="112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2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2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2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46191</v>
      </c>
      <c r="T44" s="112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2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2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2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2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2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2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2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2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2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2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2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2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2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2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2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46207</v>
      </c>
      <c r="J45" s="112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2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2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2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46194</v>
      </c>
      <c r="T45" s="112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2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2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2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2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2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2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2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2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2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2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2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2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2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2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2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46207</v>
      </c>
      <c r="J46" s="112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2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2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2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46194</v>
      </c>
      <c r="T46" s="112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2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2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2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2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2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2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2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2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2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2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2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2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2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2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2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8 días</v>
      </c>
      <c r="J47" s="112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2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2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2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12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2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2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2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2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2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2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2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2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2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2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2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2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2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2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2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2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2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2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2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2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2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2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2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2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2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2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2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2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2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2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2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2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2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2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2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Kerlly Chiriboga</v>
      </c>
      <c r="J49" s="112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2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2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2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Kerlly Chiriboga</v>
      </c>
      <c r="T49" s="112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2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2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2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2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2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2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2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2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2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2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2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2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2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2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2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2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2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2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2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2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2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2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2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2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2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2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2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2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2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2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2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2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2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2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2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2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2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2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12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Sprint 1: REQ003-1</v>
      </c>
      <c r="T51" s="112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2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2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2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2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2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2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2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2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2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2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2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2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2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2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2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2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2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2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2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Interfaz InterfazPedidoTel con campos para teléfono y dirección.</v>
      </c>
      <c r="T52" s="112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2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2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2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2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2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2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2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2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2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2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2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2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2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2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2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2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2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2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2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46191</v>
      </c>
      <c r="T53" s="112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2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2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2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2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2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2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2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2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2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2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2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2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2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2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2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2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2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2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2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46194</v>
      </c>
      <c r="T54" s="112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2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2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2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2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2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2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2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2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2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2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2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2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2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2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2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2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2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2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2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46194</v>
      </c>
      <c r="T55" s="112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2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2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2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2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2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2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2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2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2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2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2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2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2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2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2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2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2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2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2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2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2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2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2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2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2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2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2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2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2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2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2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2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2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2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2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2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2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2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2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2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2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2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2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2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2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2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2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2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2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2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2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2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2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2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2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2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2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2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2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Carlos Caiza</v>
      </c>
      <c r="T58" s="112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2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2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2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2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2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2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2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2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2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2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2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2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2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2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2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2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2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2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2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2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2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2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2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2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2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2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2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2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2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2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2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2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2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2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2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2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2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2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12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Sprint 0: REQ002-3</v>
      </c>
      <c r="T60" s="112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2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2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2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2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2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2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2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2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2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2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2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2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2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2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2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2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2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2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2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Lógica de validación: validarDatosDelPedido() (mínimo 1 producto del Menu).</v>
      </c>
      <c r="T61" s="112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2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2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2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2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2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2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2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2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2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2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2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2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2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2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2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2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2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2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2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46185</v>
      </c>
      <c r="T62" s="112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2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2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2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2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2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2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2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2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2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2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2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2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2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2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2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2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2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2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2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46188</v>
      </c>
      <c r="T63" s="112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2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2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2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2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2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2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2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2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2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2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2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2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2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2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2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2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2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2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2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46188</v>
      </c>
      <c r="T64" s="112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2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2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2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2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2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2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2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2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2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2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2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2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2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2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2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2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2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2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2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12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2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2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2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2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2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2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2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2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2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2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2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2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2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2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2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2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2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2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2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2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2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2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2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2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2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2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2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2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2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2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2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2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2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2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2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2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2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2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2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Alexander Villacres</v>
      </c>
      <c r="T67" s="112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2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2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2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2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2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2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2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2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2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2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2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2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2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2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2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2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2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2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2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2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2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2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2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2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2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2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2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2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2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2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2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2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2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2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2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2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2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2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12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Sprint 0: REQ002-1</v>
      </c>
      <c r="T69" s="112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2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2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2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2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2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2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2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2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2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2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2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2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2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2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2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2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2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2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2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Implementar métodos tomarPedidoEnMesa() en el ControlRegistroPedido.</v>
      </c>
      <c r="T70" s="112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2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2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2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2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2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2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2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2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2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2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2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2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2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2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2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2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2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2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2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46185</v>
      </c>
      <c r="T71" s="112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2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2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2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2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2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2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2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2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2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2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2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2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2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2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2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2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2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2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2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46188</v>
      </c>
      <c r="T72" s="112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2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2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2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2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2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2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2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2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2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2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2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2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2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2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2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2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2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2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2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46188</v>
      </c>
      <c r="T73" s="112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2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2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2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2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2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2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2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2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2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2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2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2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2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2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2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2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2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2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2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12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2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2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2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2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2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2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2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2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2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2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2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2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2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2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2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2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2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2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2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2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2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2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2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2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2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2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2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2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2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2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2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2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2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2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2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2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2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2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2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Carlos Caiza</v>
      </c>
      <c r="T76" s="112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2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2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2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2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2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2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2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2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2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2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2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2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2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2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2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2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2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2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2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2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2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2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2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2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2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2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2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2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2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2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2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2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2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2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2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2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2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2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12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Sprint 0: REQ002-1</v>
      </c>
      <c r="T78" s="112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2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2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2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2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2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2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2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2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2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2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2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2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2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2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2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2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2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2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2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Diseño de InterfazPedidoMesa.</v>
      </c>
      <c r="T79" s="112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2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2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2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2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2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2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2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2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2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2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2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2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2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2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2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2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2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2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2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46185</v>
      </c>
      <c r="T80" s="112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2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2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2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2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2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2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2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2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2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2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2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2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2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2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2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2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2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2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2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46188</v>
      </c>
      <c r="T81" s="112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2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2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2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2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2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2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2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2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2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2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2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2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2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2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2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2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2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2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2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46188</v>
      </c>
      <c r="T82" s="112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2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2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2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2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2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2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2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2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2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2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2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2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2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2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2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2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2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2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2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12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2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2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2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2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2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2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2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2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2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2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2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2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2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2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2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2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2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2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2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2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2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2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2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2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2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2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2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2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2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2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2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2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2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2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2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2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2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2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2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Kerlly Chiriboga</v>
      </c>
      <c r="T85" s="112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2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2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2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2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2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2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2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2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2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2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2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2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2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2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2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2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2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2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2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2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2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2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2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2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2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2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2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2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2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2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2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2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2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2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2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2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2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2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12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Sprint 0: REQ001-3</v>
      </c>
      <c r="T87" s="112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2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2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2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2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2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2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2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2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2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2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2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2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2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2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2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2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2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2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2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Control de seguridad: Bloqueo de cuenta tras 3 intentos fallidos por 5 minutos.</v>
      </c>
      <c r="T88" s="112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2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2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2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2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2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2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2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2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2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2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2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2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2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2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2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2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2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2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2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46182</v>
      </c>
      <c r="T89" s="112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2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2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2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2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2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2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2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2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2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2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2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2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2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2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2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2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2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2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2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46184</v>
      </c>
      <c r="T90" s="112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2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2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2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2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2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2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2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2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2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2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2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2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2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2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2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2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2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2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2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46184</v>
      </c>
      <c r="T91" s="112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2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2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2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2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2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2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2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2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2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2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2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2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2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2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2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2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2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2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2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2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2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2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2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2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2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2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2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2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2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2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2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2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2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2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2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2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2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2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2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2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2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2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2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2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2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2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2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2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2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2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2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2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2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2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2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2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2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2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2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Alexander Villacres</v>
      </c>
      <c r="T94" s="112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2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2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2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2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2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2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2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2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2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2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2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2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2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2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2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2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2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2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2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2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2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2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2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2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2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2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2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2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2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2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2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2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2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2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2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2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2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2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12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Sprint 0: REQ001-2</v>
      </c>
      <c r="T96" s="112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2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2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2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2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2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2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2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2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2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2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2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2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2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2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2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2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2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2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2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Implementación de métodos y control de registro.</v>
      </c>
      <c r="T97" s="112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2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2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2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2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2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2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2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2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2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2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2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2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2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2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2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2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2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2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2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46182</v>
      </c>
      <c r="T98" s="112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2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2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2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2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2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2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2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2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2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2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2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2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2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2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2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2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2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2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2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46184</v>
      </c>
      <c r="T99" s="112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2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2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2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2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2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2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2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2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2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2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2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2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2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2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2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2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2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2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2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46184</v>
      </c>
      <c r="T100" s="112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2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2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2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2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2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2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2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2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2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2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2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2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2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2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2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2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2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2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2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12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2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2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2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2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2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2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2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2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2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2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2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2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2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2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2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2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2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2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2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2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2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2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2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2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2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2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2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2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2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2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2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2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2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2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2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2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2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2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2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Carlos Caiza</v>
      </c>
      <c r="T103" s="112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2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2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2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2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2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2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2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2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2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2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2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2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2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2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2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2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2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2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2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2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2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2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2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2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2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2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2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2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2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2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2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2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2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2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2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2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2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2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12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Sprint 0: REQ001-1</v>
      </c>
      <c r="T105" s="112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2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2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2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2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2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2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2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2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2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2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2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2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2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2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2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2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2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2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2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Construcción de interfaz FormularioLogin.</v>
      </c>
      <c r="T106" s="112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2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2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2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2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2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2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2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2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2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2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2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2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2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2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2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2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2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2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2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46182</v>
      </c>
      <c r="T107" s="112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2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2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2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2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2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2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2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2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2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2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2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2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2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2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2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2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2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2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2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46184</v>
      </c>
      <c r="T108" s="112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2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2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2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2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2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2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2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2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2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2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2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2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2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2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2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2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2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2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2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46184</v>
      </c>
      <c r="T109" s="112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2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2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2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2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2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2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2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2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2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2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2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2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2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2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2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2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2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2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2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2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2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2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2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2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2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2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2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2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2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2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2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2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2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2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2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2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2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2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2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2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2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2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2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2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2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2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2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2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2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2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2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2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2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2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2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2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2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2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2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Kerlly Chiriboga</v>
      </c>
      <c r="T112" s="112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2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2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2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2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2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2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2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2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2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2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2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2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2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2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2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2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2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2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2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2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2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2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2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2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2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2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2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2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2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2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2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2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2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2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2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2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2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2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2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2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2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2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2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2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2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2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2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2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2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2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2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2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2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2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2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2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2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2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2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2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2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2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2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2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2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2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2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2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2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2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2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2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2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2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2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2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2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2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2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2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2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2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2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2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2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2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2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2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2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2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2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2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2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2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2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2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2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2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2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2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2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2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2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2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2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2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2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2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2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2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2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2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2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2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2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2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2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2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2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2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2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2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2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2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2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2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2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2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2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2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2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2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2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2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2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2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2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2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2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2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2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2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2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2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2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2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2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2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2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2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2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2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2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2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2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2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2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2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2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2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2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2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2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2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2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2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2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2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2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2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2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2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2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2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2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2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2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2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2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2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2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2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2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2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2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2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2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2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2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2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2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2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2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2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2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2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2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2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2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2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2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2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2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2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2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2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2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2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2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2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2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2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2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2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2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2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2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2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2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2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2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2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2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2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2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2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2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2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2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2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2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2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2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2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2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2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2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2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2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2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2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2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2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2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2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2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2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2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2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2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2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2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2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2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2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2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2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2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2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2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2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2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2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2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2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2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2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2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2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2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2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2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2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2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2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2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2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2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2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2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2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2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2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2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2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2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2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2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2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2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2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2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2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2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2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2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2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2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2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2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2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2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2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2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2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2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2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2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2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2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2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2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2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2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2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2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2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2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2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2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2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2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2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2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2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2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2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2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2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2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2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2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2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2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2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2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2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2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2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2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2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2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2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2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2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2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2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2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2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2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2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2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2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2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2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2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2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2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2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2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2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2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2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2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2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2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2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2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2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2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2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2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2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2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2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2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2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2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2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2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2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2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2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2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2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2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2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2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2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2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2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2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2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2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2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2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2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2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2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2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2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2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2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2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2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2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2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2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2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2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2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2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2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2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2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2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2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2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2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2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2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2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2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2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2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2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2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2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2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2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2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2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2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2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2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2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2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2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2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2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2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2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2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2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2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2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2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2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2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2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2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2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2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2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2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2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2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2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2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2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2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2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2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2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2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2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2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2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2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2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2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2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2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2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2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2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2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2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2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2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2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2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2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2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2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2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2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2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2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2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2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2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2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2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2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2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2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2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2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2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2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2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2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2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2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2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2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2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2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2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2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2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2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2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2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2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2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2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2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2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2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2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2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2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2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2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2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2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2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2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2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2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2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2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2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2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2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2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2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2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2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2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2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2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2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2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2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2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2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2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2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2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2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2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2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2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2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2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2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2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2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2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2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2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2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2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2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2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2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2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2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2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2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2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2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2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2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2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2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2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2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2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2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2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2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2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2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2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2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2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2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2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2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2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2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2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2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2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2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2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2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2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2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2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2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2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2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2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2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2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2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2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2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2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2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2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2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2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2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2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2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2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2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2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2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2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2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2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2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2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2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2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2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2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2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2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2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2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2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2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2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2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2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2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2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2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2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2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2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2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2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2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2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2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2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2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2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2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2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2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2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2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2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2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2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2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2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2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2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2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2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2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2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2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2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2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2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2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2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2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2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2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2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2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2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2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2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2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2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2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2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2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2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2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2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2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2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2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2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2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2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2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2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2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2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2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2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2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2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2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2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2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2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2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2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2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2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2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2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2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2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2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2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2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2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2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2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2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2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2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2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2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2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2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2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2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2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2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2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2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2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2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2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2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2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2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2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2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2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2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2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2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2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2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2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2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2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2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2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2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2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2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2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2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2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2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2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2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2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2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2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2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2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2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2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2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2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2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2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2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2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2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2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2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2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2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2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2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2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2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2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2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2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2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2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2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2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2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2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2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2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2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2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2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2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2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2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2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2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2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2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2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2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2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2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2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2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2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2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2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2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2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2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2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2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2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2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2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2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2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2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2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2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2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2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2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2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2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2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2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2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2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2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2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2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2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2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2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2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2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2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2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2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2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2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2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2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2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2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2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2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2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2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2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2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2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2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2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2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2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2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2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2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2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2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2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2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2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2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2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2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2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2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2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2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2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2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2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2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2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2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2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2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2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2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2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2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2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2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2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2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2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2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2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2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2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2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2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2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2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2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2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2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2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2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2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2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2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2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2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2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2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2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2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2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2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2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2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2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2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2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2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2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2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2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2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2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2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2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2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2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2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2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2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2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2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2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2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2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2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2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2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2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2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2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2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2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2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2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2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2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2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2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2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2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2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2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2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2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2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2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2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2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2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2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2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2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2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2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2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2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2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2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2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2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2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2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2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2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2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2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2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2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2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2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2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2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2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2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2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2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2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2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2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2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2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2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2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2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2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2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2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2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2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2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2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2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2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2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2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2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2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2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2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2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2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2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2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2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2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2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2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2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2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2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2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2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2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2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2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2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2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2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2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2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2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2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2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2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2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2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2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2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2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2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2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2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2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2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2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2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2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2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2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2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2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2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2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2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2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2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2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2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2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2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2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2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2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2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2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2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2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2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2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2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2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2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2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2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2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2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2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2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2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2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2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2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2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2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2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2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2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2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2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2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2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2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2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2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2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2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2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2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2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2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2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2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2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2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2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2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2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2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2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2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2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2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2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2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2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2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2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2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2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2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2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2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2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2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2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2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2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2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2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2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2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2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2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2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2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2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2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2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2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2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2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2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2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2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2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2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2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2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2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2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2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2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2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2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2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2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2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2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2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2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2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2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2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2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2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2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2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2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2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2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2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2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2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2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2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2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2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2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2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2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2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2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2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2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2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2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2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2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2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2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2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2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2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2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2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2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2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2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2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2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2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2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2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2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2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2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2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2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2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2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2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2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2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2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2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2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2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2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2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2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2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2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2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2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2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2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2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2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2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2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2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2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2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2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2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2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2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2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2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2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2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2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2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2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2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2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2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2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2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2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2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2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2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2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2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2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2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2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2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2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2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2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2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2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2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2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2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2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2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2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2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2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2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2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2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2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2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2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2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2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2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2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2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2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2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2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2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2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2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2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2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2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2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2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2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2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2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2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2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2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2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2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2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2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2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2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2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2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2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2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2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2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2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2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2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2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2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2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2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2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2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2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2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2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2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2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2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2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2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2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2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2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2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2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2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2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2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2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2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2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2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2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2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2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2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2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2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2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2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2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2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2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2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2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2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2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2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2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2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2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2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2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2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2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2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2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2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2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2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2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2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2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2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2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2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2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2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2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2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2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2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2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2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2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2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2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2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2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2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2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2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2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2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2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2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2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2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2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2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2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2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2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2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2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2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2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2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2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2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2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2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2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2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2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2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2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2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2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2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2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2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2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2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2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2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2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2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2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2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2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2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2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2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2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2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2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2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2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2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2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2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2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2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2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2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2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2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2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2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2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2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2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2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2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2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2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2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2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2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2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2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2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2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2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2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2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2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2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2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2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2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2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2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2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2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2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2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2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2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2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2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2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2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2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2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2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2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2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2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2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2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2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2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2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2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2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2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2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2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2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2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2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2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2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2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2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2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2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2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2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2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2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2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2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2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2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2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2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2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2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2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2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2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2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2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2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2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2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2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2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2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2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2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2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2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2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2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2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2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2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2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2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2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2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2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2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2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2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2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2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2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2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2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2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2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2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2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2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2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2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2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2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2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2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2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2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2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2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2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2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2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2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2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2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2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2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2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2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2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2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2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2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2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2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2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2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2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2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2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2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2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2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2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2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2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2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2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2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2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2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2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2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2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2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2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2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2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2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2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2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2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2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2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2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2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2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2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2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2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2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2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2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2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2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2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2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2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2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2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2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2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2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2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2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2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2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2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2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2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2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2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2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2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2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2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2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2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2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2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2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2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2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2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2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2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2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2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2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2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2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2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2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2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2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2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2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2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2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2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2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2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2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2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2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2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2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2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2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2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2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2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2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2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2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2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2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2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2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2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2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2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2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2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2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2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2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2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2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2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2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2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2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2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2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2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2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2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2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2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2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2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2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2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2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2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2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2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2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2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2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2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2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2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2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2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2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2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2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2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2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2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2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2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2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2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2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2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2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2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2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2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2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2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2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2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2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2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2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2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2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2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2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2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2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2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2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4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3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3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3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3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3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3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3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3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3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3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3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3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3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3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3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3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3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3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3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3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19" activePane="bottomLeft" state="frozen"/>
      <selection pane="bottomLeft" activeCell="A22" sqref="A22"/>
    </sheetView>
  </sheetViews>
  <sheetFormatPr baseColWidth="10" defaultColWidth="0" defaultRowHeight="14.5" zeroHeight="1" x14ac:dyDescent="0.35"/>
  <cols>
    <col min="1" max="1" width="15.54296875" style="3" customWidth="1"/>
    <col min="2" max="2" width="13.54296875" style="3" bestFit="1" customWidth="1"/>
    <col min="3" max="3" width="32.54296875" style="3" customWidth="1"/>
    <col min="4" max="4" width="32.54296875" style="111" customWidth="1"/>
    <col min="5" max="5" width="12.54296875" style="4" customWidth="1"/>
    <col min="6" max="6" width="14.1796875" style="4" bestFit="1" customWidth="1"/>
    <col min="7" max="8" width="12.54296875" style="4" customWidth="1"/>
    <col min="9" max="9" width="13.54296875" style="4" bestFit="1" customWidth="1"/>
    <col min="10" max="10" width="32.54296875" style="3" customWidth="1"/>
    <col min="11" max="11" width="10.81640625" style="3" customWidth="1"/>
    <col min="12" max="16384" width="10.81640625" style="2" hidden="1"/>
  </cols>
  <sheetData>
    <row r="1" spans="1:11" x14ac:dyDescent="0.3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109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9" x14ac:dyDescent="0.35">
      <c r="A2" s="91" t="s">
        <v>2</v>
      </c>
      <c r="B2" s="92" t="s">
        <v>3</v>
      </c>
      <c r="C2" s="102" t="s">
        <v>4</v>
      </c>
      <c r="D2" s="102" t="s">
        <v>5</v>
      </c>
      <c r="E2" s="103">
        <v>46182</v>
      </c>
      <c r="F2" s="93">
        <v>46184</v>
      </c>
      <c r="G2" s="93">
        <v>46184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9" x14ac:dyDescent="0.35">
      <c r="A3" s="94" t="s">
        <v>2</v>
      </c>
      <c r="B3" s="95" t="s">
        <v>3</v>
      </c>
      <c r="C3" s="95" t="s">
        <v>7</v>
      </c>
      <c r="D3" s="108" t="s">
        <v>8</v>
      </c>
      <c r="E3" s="105">
        <v>46182</v>
      </c>
      <c r="F3" s="96">
        <v>46184</v>
      </c>
      <c r="G3" s="96">
        <v>46184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5" x14ac:dyDescent="0.35">
      <c r="A4" s="91" t="s">
        <v>2</v>
      </c>
      <c r="B4" s="92" t="s">
        <v>3</v>
      </c>
      <c r="C4" s="92" t="s">
        <v>10</v>
      </c>
      <c r="D4" s="102" t="s">
        <v>11</v>
      </c>
      <c r="E4" s="103">
        <v>46182</v>
      </c>
      <c r="F4" s="93">
        <v>46184</v>
      </c>
      <c r="G4" s="93">
        <v>46184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12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5">
      <c r="A5" s="94" t="s">
        <v>2</v>
      </c>
      <c r="B5" s="95" t="s">
        <v>3</v>
      </c>
      <c r="C5" s="95" t="s">
        <v>13</v>
      </c>
      <c r="D5" s="104" t="s">
        <v>14</v>
      </c>
      <c r="E5" s="96">
        <v>46185</v>
      </c>
      <c r="F5" s="96">
        <v>46188</v>
      </c>
      <c r="G5" s="96">
        <v>46188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5" x14ac:dyDescent="0.35">
      <c r="A6" s="91" t="s">
        <v>2</v>
      </c>
      <c r="B6" s="92" t="s">
        <v>3</v>
      </c>
      <c r="C6" s="92" t="s">
        <v>13</v>
      </c>
      <c r="D6" s="102" t="s">
        <v>15</v>
      </c>
      <c r="E6" s="93">
        <v>46185</v>
      </c>
      <c r="F6" s="93">
        <v>46188</v>
      </c>
      <c r="G6" s="93">
        <v>46188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43.5" x14ac:dyDescent="0.35">
      <c r="A7" s="94" t="s">
        <v>2</v>
      </c>
      <c r="B7" s="95" t="s">
        <v>3</v>
      </c>
      <c r="C7" s="106" t="s">
        <v>16</v>
      </c>
      <c r="D7" s="104" t="s">
        <v>17</v>
      </c>
      <c r="E7" s="96">
        <v>46185</v>
      </c>
      <c r="F7" s="96">
        <v>46188</v>
      </c>
      <c r="G7" s="96">
        <v>46188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12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9" x14ac:dyDescent="0.35">
      <c r="A8" s="91" t="s">
        <v>2</v>
      </c>
      <c r="B8" s="92" t="s">
        <v>3</v>
      </c>
      <c r="C8" s="92" t="s">
        <v>18</v>
      </c>
      <c r="D8" s="102" t="s">
        <v>19</v>
      </c>
      <c r="E8" s="93">
        <v>46191</v>
      </c>
      <c r="F8" s="93">
        <v>46194</v>
      </c>
      <c r="G8" s="93">
        <v>46194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9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43.5" x14ac:dyDescent="0.35">
      <c r="A9" s="94" t="s">
        <v>2</v>
      </c>
      <c r="B9" s="95" t="s">
        <v>3</v>
      </c>
      <c r="C9" s="95" t="s">
        <v>20</v>
      </c>
      <c r="D9" s="104" t="s">
        <v>21</v>
      </c>
      <c r="E9" s="96">
        <v>46191</v>
      </c>
      <c r="F9" s="96">
        <v>46194</v>
      </c>
      <c r="G9" s="96">
        <v>46194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6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43.5" x14ac:dyDescent="0.35">
      <c r="A10" s="91" t="s">
        <v>2</v>
      </c>
      <c r="B10" s="92" t="s">
        <v>3</v>
      </c>
      <c r="C10" s="92" t="s">
        <v>22</v>
      </c>
      <c r="D10" s="102" t="s">
        <v>23</v>
      </c>
      <c r="E10" s="93">
        <v>46191</v>
      </c>
      <c r="F10" s="93">
        <v>46194</v>
      </c>
      <c r="G10" s="93">
        <v>46194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12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29" x14ac:dyDescent="0.35">
      <c r="A11" s="94" t="s">
        <v>2</v>
      </c>
      <c r="B11" s="95" t="s">
        <v>3</v>
      </c>
      <c r="C11" s="106" t="s">
        <v>24</v>
      </c>
      <c r="D11" s="104" t="s">
        <v>25</v>
      </c>
      <c r="E11" s="97">
        <v>46195</v>
      </c>
      <c r="F11" s="96">
        <v>46198</v>
      </c>
      <c r="G11" s="96">
        <v>46198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12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5" x14ac:dyDescent="0.35">
      <c r="A12" s="91" t="s">
        <v>2</v>
      </c>
      <c r="B12" s="92" t="s">
        <v>3</v>
      </c>
      <c r="C12" s="107" t="s">
        <v>26</v>
      </c>
      <c r="D12" s="102" t="s">
        <v>27</v>
      </c>
      <c r="E12" s="98">
        <v>46195</v>
      </c>
      <c r="F12" s="93">
        <v>46198</v>
      </c>
      <c r="G12" s="93">
        <v>46198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5" x14ac:dyDescent="0.35">
      <c r="A13" s="94" t="s">
        <v>2</v>
      </c>
      <c r="B13" s="95" t="s">
        <v>3</v>
      </c>
      <c r="C13" s="106" t="s">
        <v>28</v>
      </c>
      <c r="D13" s="104" t="s">
        <v>29</v>
      </c>
      <c r="E13" s="96">
        <v>46195</v>
      </c>
      <c r="F13" s="96">
        <v>46198</v>
      </c>
      <c r="G13" s="96">
        <v>46198</v>
      </c>
      <c r="H13" s="45" t="str">
        <f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12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5" x14ac:dyDescent="0.35">
      <c r="A14" s="91" t="s">
        <v>30</v>
      </c>
      <c r="B14" s="92" t="s">
        <v>3</v>
      </c>
      <c r="C14" s="107" t="s">
        <v>31</v>
      </c>
      <c r="D14" s="102" t="s">
        <v>32</v>
      </c>
      <c r="E14" s="93">
        <v>46195</v>
      </c>
      <c r="F14" s="93">
        <v>46198</v>
      </c>
      <c r="G14" s="93">
        <v>46198</v>
      </c>
      <c r="H14" s="43" t="str">
        <f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ht="58" x14ac:dyDescent="0.35">
      <c r="A15" s="94" t="s">
        <v>30</v>
      </c>
      <c r="B15" s="95" t="s">
        <v>3</v>
      </c>
      <c r="C15" s="106" t="s">
        <v>33</v>
      </c>
      <c r="D15" s="104" t="s">
        <v>34</v>
      </c>
      <c r="E15" s="96">
        <v>46195</v>
      </c>
      <c r="F15" s="96">
        <v>46198</v>
      </c>
      <c r="G15" s="96">
        <v>46198</v>
      </c>
      <c r="H15" s="45" t="str">
        <f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8" x14ac:dyDescent="0.35">
      <c r="A16" s="91" t="s">
        <v>35</v>
      </c>
      <c r="B16" s="92" t="s">
        <v>3</v>
      </c>
      <c r="C16" s="92" t="s">
        <v>36</v>
      </c>
      <c r="D16" s="102" t="s">
        <v>37</v>
      </c>
      <c r="E16" s="93">
        <v>46200</v>
      </c>
      <c r="F16" s="93">
        <v>46207</v>
      </c>
      <c r="G16" s="93">
        <v>46207</v>
      </c>
      <c r="H16" s="43" t="str">
        <f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6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58" x14ac:dyDescent="0.35">
      <c r="A17" s="94" t="s">
        <v>35</v>
      </c>
      <c r="B17" s="95" t="s">
        <v>3</v>
      </c>
      <c r="C17" s="95" t="s">
        <v>38</v>
      </c>
      <c r="D17" s="108" t="s">
        <v>39</v>
      </c>
      <c r="E17" s="96">
        <v>46200</v>
      </c>
      <c r="F17" s="96">
        <v>46207</v>
      </c>
      <c r="G17" s="96">
        <v>46207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9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ht="43.5" x14ac:dyDescent="0.35">
      <c r="A18" s="91" t="s">
        <v>40</v>
      </c>
      <c r="B18" s="92" t="s">
        <v>3</v>
      </c>
      <c r="C18" s="92" t="s">
        <v>41</v>
      </c>
      <c r="D18" s="102" t="s">
        <v>42</v>
      </c>
      <c r="E18" s="93">
        <v>46209</v>
      </c>
      <c r="F18" s="93">
        <v>46216</v>
      </c>
      <c r="G18" s="93">
        <v>46216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12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ht="72.5" x14ac:dyDescent="0.35">
      <c r="A19" s="94" t="s">
        <v>40</v>
      </c>
      <c r="B19" s="95" t="s">
        <v>3</v>
      </c>
      <c r="C19" s="95" t="s">
        <v>43</v>
      </c>
      <c r="D19" s="104" t="s">
        <v>44</v>
      </c>
      <c r="E19" s="96">
        <v>46209</v>
      </c>
      <c r="F19" s="96">
        <v>46216</v>
      </c>
      <c r="G19" s="96">
        <v>46216</v>
      </c>
      <c r="H19" s="45" t="str">
        <f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ht="43.5" x14ac:dyDescent="0.35">
      <c r="A20" s="91" t="s">
        <v>35</v>
      </c>
      <c r="B20" s="92" t="s">
        <v>3</v>
      </c>
      <c r="C20" s="92" t="s">
        <v>45</v>
      </c>
      <c r="D20" s="102" t="s">
        <v>46</v>
      </c>
      <c r="E20" s="93">
        <v>46200</v>
      </c>
      <c r="F20" s="93">
        <v>46207</v>
      </c>
      <c r="G20" s="93">
        <v>46207</v>
      </c>
      <c r="H20" s="43" t="str">
        <f>IF(Datos!$G20&gt;0,Datos!$G20-Datos!$E20+1 &amp; " " &amp; Idiomas!$A$29,"")</f>
        <v>8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58" x14ac:dyDescent="0.35">
      <c r="A21" s="94" t="s">
        <v>35</v>
      </c>
      <c r="B21" s="95" t="s">
        <v>3</v>
      </c>
      <c r="C21" s="95" t="s">
        <v>47</v>
      </c>
      <c r="D21" s="104" t="s">
        <v>48</v>
      </c>
      <c r="E21" s="96">
        <v>46200</v>
      </c>
      <c r="F21" s="96">
        <v>46207</v>
      </c>
      <c r="G21" s="96">
        <v>46207</v>
      </c>
      <c r="H21" s="45" t="str">
        <f>IF(Datos!$G21&gt;0,Datos!$G21-Datos!$E21+1 &amp; " " &amp; Idiomas!$A$29,"")</f>
        <v>8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12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ht="43.5" x14ac:dyDescent="0.35">
      <c r="A22" s="91" t="s">
        <v>35</v>
      </c>
      <c r="B22" s="92" t="s">
        <v>3</v>
      </c>
      <c r="C22" s="107" t="s">
        <v>49</v>
      </c>
      <c r="D22" s="102" t="s">
        <v>50</v>
      </c>
      <c r="E22" s="93">
        <v>46209</v>
      </c>
      <c r="F22" s="93">
        <v>46216</v>
      </c>
      <c r="G22" s="93">
        <v>46216</v>
      </c>
      <c r="H22" s="43" t="str">
        <f>IF(Datos!$G22&gt;0,Datos!$G22-Datos!$E22+1 &amp; " " &amp; Idiomas!$A$29,"")</f>
        <v>8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ht="58" x14ac:dyDescent="0.35">
      <c r="A23" s="94" t="s">
        <v>40</v>
      </c>
      <c r="B23" s="95" t="s">
        <v>3</v>
      </c>
      <c r="C23" s="95" t="s">
        <v>51</v>
      </c>
      <c r="D23" s="104" t="s">
        <v>52</v>
      </c>
      <c r="E23" s="96">
        <v>46209</v>
      </c>
      <c r="F23" s="96">
        <v>46216</v>
      </c>
      <c r="G23" s="96">
        <v>46216</v>
      </c>
      <c r="H23" s="45" t="str">
        <f>IF(Datos!$G23&gt;0,Datos!$G23-Datos!$E23+1 &amp; " " &amp; Idiomas!$A$29,"")</f>
        <v>8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5">
      <c r="A24" s="91"/>
      <c r="B24" s="92"/>
      <c r="C24" s="92"/>
      <c r="D24" s="10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5">
      <c r="A25" s="94"/>
      <c r="B25" s="95"/>
      <c r="C25" s="95"/>
      <c r="D25" s="104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5">
      <c r="A26" s="91"/>
      <c r="B26" s="92"/>
      <c r="C26" s="92"/>
      <c r="D26" s="10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5">
      <c r="A27" s="94"/>
      <c r="B27" s="95"/>
      <c r="C27" s="95"/>
      <c r="D27" s="104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5">
      <c r="A28" s="91"/>
      <c r="B28" s="92"/>
      <c r="C28" s="92"/>
      <c r="D28" s="10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5">
      <c r="A29" s="94"/>
      <c r="B29" s="95"/>
      <c r="C29" s="95"/>
      <c r="D29" s="104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5">
      <c r="A30" s="91"/>
      <c r="B30" s="92"/>
      <c r="C30" s="92"/>
      <c r="D30" s="10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5">
      <c r="A31" s="94"/>
      <c r="B31" s="95"/>
      <c r="C31" s="95"/>
      <c r="D31" s="104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5">
      <c r="A32" s="91"/>
      <c r="B32" s="92"/>
      <c r="C32" s="92"/>
      <c r="D32" s="10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5">
      <c r="A33" s="94"/>
      <c r="B33" s="95"/>
      <c r="C33" s="95"/>
      <c r="D33" s="104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5">
      <c r="A34" s="91"/>
      <c r="B34" s="92"/>
      <c r="C34" s="92"/>
      <c r="D34" s="10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5">
      <c r="A35" s="94"/>
      <c r="B35" s="95"/>
      <c r="C35" s="95"/>
      <c r="D35" s="104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5">
      <c r="A36" s="91"/>
      <c r="B36" s="92"/>
      <c r="C36" s="92"/>
      <c r="D36" s="10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5">
      <c r="A37" s="94"/>
      <c r="B37" s="95"/>
      <c r="C37" s="95"/>
      <c r="D37" s="104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5">
      <c r="A38" s="91"/>
      <c r="B38" s="92"/>
      <c r="C38" s="92"/>
      <c r="D38" s="10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5">
      <c r="A39" s="94"/>
      <c r="B39" s="95"/>
      <c r="C39" s="95"/>
      <c r="D39" s="104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5">
      <c r="A40" s="91"/>
      <c r="B40" s="92"/>
      <c r="C40" s="92"/>
      <c r="D40" s="10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5">
      <c r="A41" s="94"/>
      <c r="B41" s="95"/>
      <c r="C41" s="95"/>
      <c r="D41" s="104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5">
      <c r="A42" s="91"/>
      <c r="B42" s="92"/>
      <c r="C42" s="92"/>
      <c r="D42" s="10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5">
      <c r="A43" s="94"/>
      <c r="B43" s="95"/>
      <c r="C43" s="95"/>
      <c r="D43" s="104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5">
      <c r="A44" s="91"/>
      <c r="B44" s="92"/>
      <c r="C44" s="92"/>
      <c r="D44" s="10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5">
      <c r="A45" s="94"/>
      <c r="B45" s="95"/>
      <c r="C45" s="95"/>
      <c r="D45" s="104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5">
      <c r="A46" s="91"/>
      <c r="B46" s="92"/>
      <c r="C46" s="92"/>
      <c r="D46" s="10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5">
      <c r="A47" s="94"/>
      <c r="B47" s="95"/>
      <c r="C47" s="95"/>
      <c r="D47" s="104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5">
      <c r="A48" s="91"/>
      <c r="B48" s="92"/>
      <c r="C48" s="92"/>
      <c r="D48" s="10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5">
      <c r="A49" s="94"/>
      <c r="B49" s="95"/>
      <c r="C49" s="95"/>
      <c r="D49" s="104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5">
      <c r="A50" s="91"/>
      <c r="B50" s="92"/>
      <c r="C50" s="92"/>
      <c r="D50" s="10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5">
      <c r="A51" s="94"/>
      <c r="B51" s="95"/>
      <c r="C51" s="95"/>
      <c r="D51" s="104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5">
      <c r="A52" s="91"/>
      <c r="B52" s="92"/>
      <c r="C52" s="92"/>
      <c r="D52" s="10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5">
      <c r="A53" s="94"/>
      <c r="B53" s="95"/>
      <c r="C53" s="95"/>
      <c r="D53" s="104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5">
      <c r="A54" s="91"/>
      <c r="B54" s="92"/>
      <c r="C54" s="92"/>
      <c r="D54" s="10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5">
      <c r="A55" s="94"/>
      <c r="B55" s="95"/>
      <c r="C55" s="95"/>
      <c r="D55" s="104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5">
      <c r="A56" s="91"/>
      <c r="B56" s="92"/>
      <c r="C56" s="92"/>
      <c r="D56" s="10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5">
      <c r="A57" s="94"/>
      <c r="B57" s="95"/>
      <c r="C57" s="95"/>
      <c r="D57" s="104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5">
      <c r="A58" s="91"/>
      <c r="B58" s="92"/>
      <c r="C58" s="92"/>
      <c r="D58" s="10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5">
      <c r="A59" s="94"/>
      <c r="B59" s="95"/>
      <c r="C59" s="95"/>
      <c r="D59" s="104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5">
      <c r="A60" s="91"/>
      <c r="B60" s="92"/>
      <c r="C60" s="92"/>
      <c r="D60" s="10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5">
      <c r="A61" s="94"/>
      <c r="B61" s="95"/>
      <c r="C61" s="95"/>
      <c r="D61" s="104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5">
      <c r="A62" s="91"/>
      <c r="B62" s="92"/>
      <c r="C62" s="92"/>
      <c r="D62" s="10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5">
      <c r="A63" s="94"/>
      <c r="B63" s="95"/>
      <c r="C63" s="95"/>
      <c r="D63" s="104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5">
      <c r="A64" s="91"/>
      <c r="B64" s="92"/>
      <c r="C64" s="92"/>
      <c r="D64" s="10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5">
      <c r="A65" s="94"/>
      <c r="B65" s="95"/>
      <c r="C65" s="95"/>
      <c r="D65" s="104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5">
      <c r="A66" s="91"/>
      <c r="B66" s="92"/>
      <c r="C66" s="92"/>
      <c r="D66" s="10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5">
      <c r="A67" s="94"/>
      <c r="B67" s="95"/>
      <c r="C67" s="95"/>
      <c r="D67" s="104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5">
      <c r="A68" s="91"/>
      <c r="B68" s="92"/>
      <c r="C68" s="92"/>
      <c r="D68" s="10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5">
      <c r="A69" s="94"/>
      <c r="B69" s="95"/>
      <c r="C69" s="95"/>
      <c r="D69" s="104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5">
      <c r="A70" s="91"/>
      <c r="B70" s="92"/>
      <c r="C70" s="92"/>
      <c r="D70" s="10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5">
      <c r="A71" s="94"/>
      <c r="B71" s="95"/>
      <c r="C71" s="95"/>
      <c r="D71" s="104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5">
      <c r="A72" s="91"/>
      <c r="B72" s="92"/>
      <c r="C72" s="92"/>
      <c r="D72" s="10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5">
      <c r="A73" s="94"/>
      <c r="B73" s="95"/>
      <c r="C73" s="95"/>
      <c r="D73" s="104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5">
      <c r="A74" s="91"/>
      <c r="B74" s="92"/>
      <c r="C74" s="92"/>
      <c r="D74" s="10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5">
      <c r="A75" s="94"/>
      <c r="B75" s="95"/>
      <c r="C75" s="95"/>
      <c r="D75" s="104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5">
      <c r="A76" s="91"/>
      <c r="B76" s="92"/>
      <c r="C76" s="92"/>
      <c r="D76" s="10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5">
      <c r="A77" s="94"/>
      <c r="B77" s="95"/>
      <c r="C77" s="95"/>
      <c r="D77" s="104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5">
      <c r="A78" s="91"/>
      <c r="B78" s="92"/>
      <c r="C78" s="92"/>
      <c r="D78" s="10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5">
      <c r="A79" s="94"/>
      <c r="B79" s="95"/>
      <c r="C79" s="95"/>
      <c r="D79" s="104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5">
      <c r="A80" s="91"/>
      <c r="B80" s="92"/>
      <c r="C80" s="92"/>
      <c r="D80" s="10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5">
      <c r="A81" s="94"/>
      <c r="B81" s="95"/>
      <c r="C81" s="95"/>
      <c r="D81" s="104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5">
      <c r="A82" s="91"/>
      <c r="B82" s="92"/>
      <c r="C82" s="92"/>
      <c r="D82" s="10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5">
      <c r="A83" s="94"/>
      <c r="B83" s="95"/>
      <c r="C83" s="95"/>
      <c r="D83" s="104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5">
      <c r="A84" s="91"/>
      <c r="B84" s="92"/>
      <c r="C84" s="92"/>
      <c r="D84" s="10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5">
      <c r="A85" s="94" t="s">
        <v>62</v>
      </c>
      <c r="B85" s="95" t="s">
        <v>53</v>
      </c>
      <c r="C85" s="95"/>
      <c r="D85" s="104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5">
      <c r="A86" s="91"/>
      <c r="B86" s="92"/>
      <c r="C86" s="92"/>
      <c r="D86" s="10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5">
      <c r="A87" s="94"/>
      <c r="B87" s="95"/>
      <c r="C87" s="95"/>
      <c r="D87" s="104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5">
      <c r="A88" s="91"/>
      <c r="B88" s="92"/>
      <c r="C88" s="92"/>
      <c r="D88" s="10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5">
      <c r="A89" s="94"/>
      <c r="B89" s="95"/>
      <c r="C89" s="95"/>
      <c r="D89" s="104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5">
      <c r="A90" s="91"/>
      <c r="B90" s="92"/>
      <c r="C90" s="92"/>
      <c r="D90" s="10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5">
      <c r="A91" s="94"/>
      <c r="B91" s="95"/>
      <c r="C91" s="95"/>
      <c r="D91" s="104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5">
      <c r="A92" s="91"/>
      <c r="B92" s="92"/>
      <c r="C92" s="92"/>
      <c r="D92" s="10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5">
      <c r="A93" s="94"/>
      <c r="B93" s="95"/>
      <c r="C93" s="95"/>
      <c r="D93" s="104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5">
      <c r="A94" s="91"/>
      <c r="B94" s="92"/>
      <c r="C94" s="92"/>
      <c r="D94" s="10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5">
      <c r="A95" s="94"/>
      <c r="B95" s="95"/>
      <c r="C95" s="95"/>
      <c r="D95" s="104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5">
      <c r="A96" s="91"/>
      <c r="B96" s="92"/>
      <c r="C96" s="92"/>
      <c r="D96" s="10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5">
      <c r="A97" s="94"/>
      <c r="B97" s="95"/>
      <c r="C97" s="95"/>
      <c r="D97" s="104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5">
      <c r="A98" s="91"/>
      <c r="B98" s="92"/>
      <c r="C98" s="92"/>
      <c r="D98" s="10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5">
      <c r="A99" s="94"/>
      <c r="B99" s="95"/>
      <c r="C99" s="95"/>
      <c r="D99" s="104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5">
      <c r="A100" s="91"/>
      <c r="B100" s="92"/>
      <c r="C100" s="92"/>
      <c r="D100" s="10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5">
      <c r="A101" s="99"/>
      <c r="B101" s="100"/>
      <c r="C101" s="100"/>
      <c r="D101" s="11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3" sqref="F13"/>
    </sheetView>
  </sheetViews>
  <sheetFormatPr baseColWidth="10" defaultColWidth="0" defaultRowHeight="14.5" zeroHeight="1" x14ac:dyDescent="0.35"/>
  <cols>
    <col min="1" max="1" width="4.54296875" style="2" customWidth="1"/>
    <col min="2" max="2" width="16.54296875" style="2" customWidth="1"/>
    <col min="3" max="3" width="4.54296875" style="2" customWidth="1"/>
    <col min="4" max="4" width="16.54296875" style="2" customWidth="1"/>
    <col min="5" max="5" width="4.54296875" style="2" customWidth="1"/>
    <col min="6" max="6" width="32.54296875" style="2" customWidth="1"/>
    <col min="7" max="7" width="4.54296875" style="2" customWidth="1"/>
    <col min="8" max="8" width="16.54296875" style="2" customWidth="1"/>
    <col min="9" max="9" width="4.54296875" customWidth="1"/>
    <col min="10" max="10" width="4.54296875" style="2" customWidth="1"/>
    <col min="11" max="16384" width="10.81640625" style="2" hidden="1"/>
  </cols>
  <sheetData>
    <row r="1" spans="2:9" ht="15" customHeight="1" x14ac:dyDescent="0.35"/>
    <row r="2" spans="2:9" ht="15" customHeight="1" x14ac:dyDescent="0.35">
      <c r="B2" s="115" t="str">
        <f>"                " &amp; Idiomas!$A$2 &amp; " v3 ©️            "</f>
        <v xml:space="preserve">                Tablero KANBAN v3 ©️            </v>
      </c>
      <c r="C2" s="115"/>
      <c r="E2" s="7" t="s">
        <v>54</v>
      </c>
      <c r="F2" s="119" t="str">
        <f>Idiomas!$A$2 &amp; " | #ExcelPedroWave"</f>
        <v>Tablero KANBAN | #ExcelPedroWave</v>
      </c>
      <c r="G2" s="119"/>
      <c r="H2" s="119"/>
    </row>
    <row r="3" spans="2:9" ht="15" customHeight="1" x14ac:dyDescent="0.35">
      <c r="E3" s="8" t="s">
        <v>55</v>
      </c>
      <c r="F3" s="119" t="s">
        <v>56</v>
      </c>
      <c r="G3" s="119"/>
      <c r="H3" s="119"/>
    </row>
    <row r="4" spans="2:9" x14ac:dyDescent="0.35">
      <c r="B4" s="89" t="str">
        <f>Idiomas!$A$3</f>
        <v>Idioma</v>
      </c>
      <c r="E4" s="8" t="s">
        <v>57</v>
      </c>
      <c r="F4" s="120" t="s">
        <v>58</v>
      </c>
      <c r="G4" s="120"/>
      <c r="H4" s="120"/>
    </row>
    <row r="5" spans="2:9" ht="15" customHeight="1" x14ac:dyDescent="0.35">
      <c r="B5" s="90" t="s">
        <v>59</v>
      </c>
      <c r="C5" s="37"/>
      <c r="D5" s="39"/>
      <c r="E5" s="39"/>
      <c r="F5" s="39"/>
    </row>
    <row r="6" spans="2:9" ht="15" customHeight="1" x14ac:dyDescent="0.3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4">
      <c r="C7" s="38"/>
      <c r="D7" s="39"/>
      <c r="E7" s="39"/>
      <c r="F7" s="39"/>
    </row>
    <row r="8" spans="2:9" ht="15" thickBot="1" x14ac:dyDescent="0.4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60</v>
      </c>
    </row>
    <row r="9" spans="2:9" x14ac:dyDescent="0.35">
      <c r="B9" s="75" t="s">
        <v>40</v>
      </c>
      <c r="D9" s="72" t="s">
        <v>61</v>
      </c>
      <c r="F9" s="68" t="s">
        <v>6</v>
      </c>
      <c r="H9" s="66" t="str">
        <f>Idiomas!$A$12</f>
        <v>Tarea</v>
      </c>
      <c r="I9" s="85">
        <v>1</v>
      </c>
    </row>
    <row r="10" spans="2:9" x14ac:dyDescent="0.35">
      <c r="B10" s="76" t="s">
        <v>35</v>
      </c>
      <c r="D10" s="73" t="s">
        <v>3</v>
      </c>
      <c r="F10" s="69" t="s">
        <v>9</v>
      </c>
      <c r="H10" s="67" t="str">
        <f>Idiomas!$A$13</f>
        <v>Descripción</v>
      </c>
      <c r="I10" s="87">
        <v>2</v>
      </c>
    </row>
    <row r="11" spans="2:9" ht="15" thickBot="1" x14ac:dyDescent="0.4">
      <c r="B11" s="77" t="s">
        <v>30</v>
      </c>
      <c r="D11" s="74" t="s">
        <v>53</v>
      </c>
      <c r="F11" s="70" t="s">
        <v>12</v>
      </c>
      <c r="H11" s="79" t="str">
        <f>Idiomas!$A$14</f>
        <v>Inicio</v>
      </c>
      <c r="I11" s="86">
        <v>3</v>
      </c>
    </row>
    <row r="12" spans="2:9" x14ac:dyDescent="0.35">
      <c r="B12" s="76" t="s">
        <v>2</v>
      </c>
      <c r="F12" s="69"/>
      <c r="H12" s="67" t="str">
        <f>Idiomas!$A$15</f>
        <v>Previsto</v>
      </c>
      <c r="I12" s="87">
        <v>4</v>
      </c>
    </row>
    <row r="13" spans="2:9" x14ac:dyDescent="0.35">
      <c r="B13" s="77" t="s">
        <v>62</v>
      </c>
      <c r="F13" s="70"/>
      <c r="H13" s="79" t="str">
        <f>Idiomas!$A$16</f>
        <v>Final</v>
      </c>
      <c r="I13" s="86">
        <v>5</v>
      </c>
    </row>
    <row r="14" spans="2:9" x14ac:dyDescent="0.35">
      <c r="B14" s="76" t="s">
        <v>40</v>
      </c>
      <c r="F14" s="69"/>
      <c r="H14" s="67" t="str">
        <f>Idiomas!$A$17</f>
        <v>Duración</v>
      </c>
      <c r="I14" s="87">
        <v>6</v>
      </c>
    </row>
    <row r="15" spans="2:9" x14ac:dyDescent="0.35">
      <c r="B15" s="77" t="s">
        <v>35</v>
      </c>
      <c r="F15" s="70"/>
      <c r="H15" s="79" t="str">
        <f>Idiomas!$A$18</f>
        <v>Retraso</v>
      </c>
      <c r="I15" s="86">
        <v>7</v>
      </c>
    </row>
    <row r="16" spans="2:9" ht="15" thickBot="1" x14ac:dyDescent="0.4">
      <c r="B16" s="76"/>
      <c r="F16" s="69"/>
      <c r="H16" s="80" t="str">
        <f>Idiomas!$A$19</f>
        <v>Asignado</v>
      </c>
      <c r="I16" s="88">
        <v>8</v>
      </c>
    </row>
    <row r="17" spans="2:9" x14ac:dyDescent="0.35">
      <c r="B17" s="77"/>
      <c r="F17" s="70"/>
      <c r="H17" s="82" t="str">
        <f>Idiomas!$A$4</f>
        <v>AVISO:</v>
      </c>
      <c r="I17" s="84" t="s">
        <v>63</v>
      </c>
    </row>
    <row r="18" spans="2:9" ht="15" thickBot="1" x14ac:dyDescent="0.4">
      <c r="B18" s="78"/>
      <c r="F18" s="69"/>
      <c r="H18" s="83" t="str">
        <f>Idiomas!$A$31</f>
        <v>Cambiar números del 2 al 8</v>
      </c>
    </row>
    <row r="19" spans="2:9" ht="15" thickBot="1" x14ac:dyDescent="0.4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4">
      <c r="B20" s="64" t="s">
        <v>30</v>
      </c>
      <c r="F20" s="69"/>
    </row>
    <row r="21" spans="2:9" x14ac:dyDescent="0.35">
      <c r="F21" s="70"/>
    </row>
    <row r="22" spans="2:9" ht="15" thickBot="1" x14ac:dyDescent="0.4">
      <c r="B22" s="2" t="str">
        <f>Idiomas!$A$11</f>
        <v>Nombre archivo en Excel para la Web</v>
      </c>
      <c r="F22" s="69"/>
    </row>
    <row r="23" spans="2:9" ht="15" thickBot="1" x14ac:dyDescent="0.4">
      <c r="B23" s="116" t="s">
        <v>64</v>
      </c>
      <c r="C23" s="117"/>
      <c r="D23" s="118"/>
      <c r="F23" s="71"/>
    </row>
    <row r="24" spans="2:9" x14ac:dyDescent="0.3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1" width="10.81640625" style="2" customWidth="1"/>
    <col min="2" max="2" width="9.81640625" style="2" bestFit="1" customWidth="1"/>
    <col min="3" max="3" width="10.54296875" style="2" customWidth="1"/>
    <col min="4" max="15" width="8.54296875" style="2" customWidth="1"/>
    <col min="16" max="16" width="16.54296875" style="2" customWidth="1"/>
    <col min="17" max="16384" width="10.81640625" hidden="1"/>
  </cols>
  <sheetData>
    <row r="1" spans="1:16" ht="15.5" thickTop="1" thickBot="1" x14ac:dyDescent="0.4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65</v>
      </c>
      <c r="F1" s="50" t="s">
        <v>66</v>
      </c>
      <c r="G1" s="50" t="s">
        <v>67</v>
      </c>
      <c r="H1" s="50" t="s">
        <v>68</v>
      </c>
      <c r="I1" s="50" t="s">
        <v>69</v>
      </c>
      <c r="J1" s="50" t="s">
        <v>70</v>
      </c>
      <c r="K1" s="50" t="s">
        <v>71</v>
      </c>
      <c r="L1" s="50" t="s">
        <v>72</v>
      </c>
      <c r="M1" s="50" t="s">
        <v>73</v>
      </c>
      <c r="N1" s="50" t="s">
        <v>74</v>
      </c>
      <c r="O1" s="50" t="str">
        <f>Idiomas!$A$21</f>
        <v>Celda</v>
      </c>
      <c r="P1" s="51" t="s">
        <v>75</v>
      </c>
    </row>
    <row r="2" spans="1:16" ht="15.5" thickTop="1" thickBot="1" x14ac:dyDescent="0.4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5" thickTop="1" thickBot="1" x14ac:dyDescent="0.4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5" thickTop="1" thickBot="1" x14ac:dyDescent="0.4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5" thickTop="1" thickBot="1" x14ac:dyDescent="0.4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5" thickTop="1" thickBot="1" x14ac:dyDescent="0.4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5" thickTop="1" thickBot="1" x14ac:dyDescent="0.4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5" thickTop="1" thickBot="1" x14ac:dyDescent="0.4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5" thickTop="1" thickBot="1" x14ac:dyDescent="0.4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5" thickTop="1" thickBot="1" x14ac:dyDescent="0.4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5" thickTop="1" thickBot="1" x14ac:dyDescent="0.4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5" thickTop="1" thickBot="1" x14ac:dyDescent="0.4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5" thickTop="1" thickBot="1" x14ac:dyDescent="0.4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R6:R13</v>
      </c>
    </row>
    <row r="14" spans="1:16" ht="15.5" thickTop="1" thickBot="1" x14ac:dyDescent="0.4">
      <c r="A14" s="52" t="str">
        <f>IFERROR(IF(Datos!$A14="","",Idiomas!$A$12&amp;" "&amp;ROW()-1),"")</f>
        <v>Tarea 13</v>
      </c>
      <c r="B14" s="53">
        <f>IFERROR(MATCH(Datos!$A14,Configura!$B$9:$B$18,0),0)</f>
        <v>3</v>
      </c>
      <c r="C14" s="53">
        <f>IFERROR(MATCH(Datos!$B14,Configura!$D$9:$D$11,0),0)</f>
        <v>2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>M-15</v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M-15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M15:M22</v>
      </c>
    </row>
    <row r="15" spans="1:16" ht="15.5" thickTop="1" thickBot="1" x14ac:dyDescent="0.4">
      <c r="A15" s="56" t="str">
        <f>IFERROR(IF(Datos!$A15="","",Idiomas!$A$12&amp;" "&amp;ROW()-1),"")</f>
        <v>Tarea 14</v>
      </c>
      <c r="B15" s="57">
        <f>IFERROR(MATCH(Datos!$A15,Configura!$B$9:$B$18,0),0)</f>
        <v>3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>M-6</v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M-6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M6:M13</v>
      </c>
    </row>
    <row r="16" spans="1:16" ht="15.5" thickTop="1" thickBot="1" x14ac:dyDescent="0.4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H-42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H-42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H42:H49</v>
      </c>
    </row>
    <row r="17" spans="1:16" ht="15.5" thickTop="1" thickBot="1" x14ac:dyDescent="0.4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H-33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H-33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H33:H40</v>
      </c>
    </row>
    <row r="18" spans="1:16" ht="15.5" thickTop="1" thickBot="1" x14ac:dyDescent="0.4">
      <c r="A18" s="52" t="str">
        <f>IFERROR(IF(Datos!$A18="","",Idiomas!$A$12&amp;" "&amp;ROW()-1),"")</f>
        <v>Tarea 17</v>
      </c>
      <c r="B18" s="53">
        <f>IFERROR(MATCH(Datos!$A18,Configura!$B$9:$B$18,0),0)</f>
        <v>1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>C-24</v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C-24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C24:C31</v>
      </c>
    </row>
    <row r="19" spans="1:16" ht="15.5" thickTop="1" thickBot="1" x14ac:dyDescent="0.4">
      <c r="A19" s="56" t="str">
        <f>IFERROR(IF(Datos!$A19="","",Idiomas!$A$12&amp;" "&amp;ROW()-1),"")</f>
        <v>Tarea 18</v>
      </c>
      <c r="B19" s="57">
        <f>IFERROR(MATCH(Datos!$A19,Configura!$B$9:$B$18,0),0)</f>
        <v>1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>C-15</v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C-15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C15:C22</v>
      </c>
    </row>
    <row r="20" spans="1:16" ht="15.5" thickTop="1" thickBot="1" x14ac:dyDescent="0.4">
      <c r="A20" s="52" t="str">
        <f>IFERROR(IF(Datos!$A20="","",Idiomas!$A$12&amp;" "&amp;ROW()-1),"")</f>
        <v>Tarea 19</v>
      </c>
      <c r="B20" s="53">
        <f>IFERROR(MATCH(Datos!$A20,Configura!$B$9:$B$18,0),0)</f>
        <v>2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>H-24</v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H-24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H24:H31</v>
      </c>
    </row>
    <row r="21" spans="1:16" ht="15.5" thickTop="1" thickBot="1" x14ac:dyDescent="0.4">
      <c r="A21" s="56" t="str">
        <f>IFERROR(IF(Datos!$A21="","",Idiomas!$A$12&amp;" "&amp;ROW()-1),"")</f>
        <v>Tarea 20</v>
      </c>
      <c r="B21" s="57">
        <f>IFERROR(MATCH(Datos!$A21,Configura!$B$9:$B$18,0),0)</f>
        <v>2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>H-15</v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H-15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H15:H22</v>
      </c>
    </row>
    <row r="22" spans="1:16" ht="15.5" thickTop="1" thickBot="1" x14ac:dyDescent="0.4">
      <c r="A22" s="52" t="str">
        <f>IFERROR(IF(Datos!$A22="","",Idiomas!$A$12&amp;" "&amp;ROW()-1),"")</f>
        <v>Tarea 21</v>
      </c>
      <c r="B22" s="53">
        <f>IFERROR(MATCH(Datos!$A22,Configura!$B$9:$B$18,0),0)</f>
        <v>2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>H-6</v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H-6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H6:H13</v>
      </c>
    </row>
    <row r="23" spans="1:16" ht="15.5" thickTop="1" thickBot="1" x14ac:dyDescent="0.4">
      <c r="A23" s="56" t="str">
        <f>IFERROR(IF(Datos!$A23="","",Idiomas!$A$12&amp;" "&amp;ROW()-1),"")</f>
        <v>Tarea 22</v>
      </c>
      <c r="B23" s="57">
        <f>IFERROR(MATCH(Datos!$A23,Configura!$B$9:$B$18,0),0)</f>
        <v>1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>C-6</v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C-6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C6:C13</v>
      </c>
    </row>
    <row r="24" spans="1:16" ht="15.5" thickTop="1" thickBot="1" x14ac:dyDescent="0.4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5" thickTop="1" thickBot="1" x14ac:dyDescent="0.4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5" thickTop="1" thickBot="1" x14ac:dyDescent="0.4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5" thickTop="1" thickBot="1" x14ac:dyDescent="0.4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5" thickTop="1" thickBot="1" x14ac:dyDescent="0.4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5" thickTop="1" thickBot="1" x14ac:dyDescent="0.4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5" thickTop="1" thickBot="1" x14ac:dyDescent="0.4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5" thickTop="1" thickBot="1" x14ac:dyDescent="0.4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5" thickTop="1" thickBot="1" x14ac:dyDescent="0.4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5" thickTop="1" thickBot="1" x14ac:dyDescent="0.4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5" thickTop="1" thickBot="1" x14ac:dyDescent="0.4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5" thickTop="1" thickBot="1" x14ac:dyDescent="0.4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5" thickTop="1" thickBot="1" x14ac:dyDescent="0.4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5" thickTop="1" thickBot="1" x14ac:dyDescent="0.4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5" thickTop="1" thickBot="1" x14ac:dyDescent="0.4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5" thickTop="1" thickBot="1" x14ac:dyDescent="0.4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5" thickTop="1" thickBot="1" x14ac:dyDescent="0.4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5" thickTop="1" thickBot="1" x14ac:dyDescent="0.4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5" thickTop="1" thickBot="1" x14ac:dyDescent="0.4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5" thickTop="1" thickBot="1" x14ac:dyDescent="0.4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5" thickTop="1" thickBot="1" x14ac:dyDescent="0.4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5" thickTop="1" thickBot="1" x14ac:dyDescent="0.4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5" thickTop="1" thickBot="1" x14ac:dyDescent="0.4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5" thickTop="1" thickBot="1" x14ac:dyDescent="0.4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5" thickTop="1" thickBot="1" x14ac:dyDescent="0.4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5" thickTop="1" thickBot="1" x14ac:dyDescent="0.4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5" thickTop="1" thickBot="1" x14ac:dyDescent="0.4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5" thickTop="1" thickBot="1" x14ac:dyDescent="0.4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5" thickTop="1" thickBot="1" x14ac:dyDescent="0.4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5" thickTop="1" thickBot="1" x14ac:dyDescent="0.4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5" thickTop="1" thickBot="1" x14ac:dyDescent="0.4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5" thickTop="1" thickBot="1" x14ac:dyDescent="0.4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5" thickTop="1" thickBot="1" x14ac:dyDescent="0.4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5" thickTop="1" thickBot="1" x14ac:dyDescent="0.4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5" thickTop="1" thickBot="1" x14ac:dyDescent="0.4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5" thickTop="1" thickBot="1" x14ac:dyDescent="0.4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5" thickTop="1" thickBot="1" x14ac:dyDescent="0.4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5" thickTop="1" thickBot="1" x14ac:dyDescent="0.4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5" thickTop="1" thickBot="1" x14ac:dyDescent="0.4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5" thickTop="1" thickBot="1" x14ac:dyDescent="0.4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5" thickTop="1" thickBot="1" x14ac:dyDescent="0.4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5" thickTop="1" thickBot="1" x14ac:dyDescent="0.4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5" thickTop="1" thickBot="1" x14ac:dyDescent="0.4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5" thickTop="1" thickBot="1" x14ac:dyDescent="0.4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5" thickTop="1" thickBot="1" x14ac:dyDescent="0.4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5" thickTop="1" thickBot="1" x14ac:dyDescent="0.4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5" thickTop="1" thickBot="1" x14ac:dyDescent="0.4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5" thickTop="1" thickBot="1" x14ac:dyDescent="0.4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5" thickTop="1" thickBot="1" x14ac:dyDescent="0.4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5" thickTop="1" thickBot="1" x14ac:dyDescent="0.4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5" thickTop="1" thickBot="1" x14ac:dyDescent="0.4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5" thickTop="1" thickBot="1" x14ac:dyDescent="0.4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5" thickTop="1" thickBot="1" x14ac:dyDescent="0.4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5" thickTop="1" thickBot="1" x14ac:dyDescent="0.4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5" thickTop="1" thickBot="1" x14ac:dyDescent="0.4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5" thickTop="1" thickBot="1" x14ac:dyDescent="0.4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5" thickTop="1" thickBot="1" x14ac:dyDescent="0.4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5" thickTop="1" thickBot="1" x14ac:dyDescent="0.4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5" thickTop="1" thickBot="1" x14ac:dyDescent="0.4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5" thickTop="1" thickBot="1" x14ac:dyDescent="0.4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5" thickTop="1" thickBot="1" x14ac:dyDescent="0.4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5" thickTop="1" thickBot="1" x14ac:dyDescent="0.4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5" thickTop="1" thickBot="1" x14ac:dyDescent="0.4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5" thickTop="1" thickBot="1" x14ac:dyDescent="0.4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5" thickTop="1" thickBot="1" x14ac:dyDescent="0.4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5" thickTop="1" thickBot="1" x14ac:dyDescent="0.4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5" thickTop="1" thickBot="1" x14ac:dyDescent="0.4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5" thickTop="1" thickBot="1" x14ac:dyDescent="0.4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5" thickTop="1" thickBot="1" x14ac:dyDescent="0.4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5" thickTop="1" thickBot="1" x14ac:dyDescent="0.4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5" thickTop="1" thickBot="1" x14ac:dyDescent="0.4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5" thickTop="1" thickBot="1" x14ac:dyDescent="0.4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5" thickTop="1" thickBot="1" x14ac:dyDescent="0.4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5" thickTop="1" thickBot="1" x14ac:dyDescent="0.4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5" thickTop="1" thickBot="1" x14ac:dyDescent="0.4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5" thickTop="1" thickBot="1" x14ac:dyDescent="0.4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5" thickTop="1" thickBot="1" x14ac:dyDescent="0.4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5" thickTop="1" thickBot="1" x14ac:dyDescent="0.4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2" width="4.54296875" style="2" customWidth="1"/>
    <col min="3" max="6" width="4.54296875" style="1" customWidth="1"/>
    <col min="7" max="7" width="4.54296875" style="2" customWidth="1"/>
    <col min="8" max="11" width="4.54296875" style="1" customWidth="1"/>
    <col min="12" max="12" width="4.54296875" style="2" customWidth="1"/>
    <col min="13" max="16" width="4.54296875" style="1" customWidth="1"/>
    <col min="17" max="17" width="4.54296875" style="2" customWidth="1"/>
    <col min="18" max="21" width="4.54296875" style="1" customWidth="1"/>
    <col min="22" max="22" width="4.54296875" style="2" customWidth="1"/>
    <col min="23" max="26" width="4.54296875" style="1" customWidth="1"/>
    <col min="27" max="27" width="4.54296875" style="2" customWidth="1"/>
    <col min="28" max="31" width="4.54296875" style="1" customWidth="1"/>
    <col min="32" max="32" width="4.54296875" style="2" customWidth="1"/>
    <col min="33" max="36" width="4.54296875" style="1" customWidth="1"/>
    <col min="37" max="37" width="4.54296875" style="2" customWidth="1"/>
    <col min="38" max="41" width="4.54296875" style="1" customWidth="1"/>
    <col min="42" max="42" width="4.54296875" style="2" customWidth="1"/>
    <col min="43" max="46" width="4.54296875" style="1" customWidth="1"/>
    <col min="47" max="47" width="4.54296875" style="2" customWidth="1"/>
    <col min="48" max="51" width="4.54296875" style="1" customWidth="1"/>
    <col min="52" max="52" width="4.54296875" style="2" customWidth="1"/>
    <col min="53" max="16384" width="10.81640625" style="2" hidden="1"/>
  </cols>
  <sheetData>
    <row r="1" spans="1:51" s="23" customFormat="1" x14ac:dyDescent="0.3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21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14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12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5">
      <c r="B4" s="19" t="str">
        <f ca="1"/>
        <v/>
      </c>
      <c r="C4" s="20">
        <f t="shared" ref="C4:C9" ca="1" si="10">C3--(E3=0)</f>
        <v>1</v>
      </c>
      <c r="D4" s="20">
        <f t="shared" ca="1" si="0"/>
        <v>22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21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14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12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5">
      <c r="B5" s="19" t="str">
        <f ca="1"/>
        <v/>
      </c>
      <c r="C5" s="20">
        <f t="shared" ca="1" si="10"/>
        <v>1</v>
      </c>
      <c r="D5" s="20">
        <f t="shared" ca="1" si="0"/>
        <v>22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21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>
        <f t="shared" ca="1" si="2"/>
        <v>14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12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5">
      <c r="B6" s="19" t="str">
        <f ca="1"/>
        <v/>
      </c>
      <c r="C6" s="20">
        <f t="shared" ca="1" si="10"/>
        <v>1</v>
      </c>
      <c r="D6" s="20">
        <f t="shared" ca="1" si="0"/>
        <v>22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21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>
        <f t="shared" ca="1" si="2"/>
        <v>14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12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5">
      <c r="B7" s="19" t="str">
        <f ca="1"/>
        <v/>
      </c>
      <c r="C7" s="20">
        <f t="shared" ca="1" si="10"/>
        <v>1</v>
      </c>
      <c r="D7" s="20">
        <f t="shared" ca="1" si="0"/>
        <v>22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21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>
        <f t="shared" ca="1" si="2"/>
        <v>14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12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5">
      <c r="B8" s="19" t="str">
        <f ca="1"/>
        <v/>
      </c>
      <c r="C8" s="20">
        <f t="shared" ca="1" si="10"/>
        <v>1</v>
      </c>
      <c r="D8" s="20">
        <f t="shared" ca="1" si="0"/>
        <v>22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21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>
        <f t="shared" ca="1" si="2"/>
        <v>14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12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5">
      <c r="B9" s="19" t="str">
        <f ca="1"/>
        <v/>
      </c>
      <c r="C9" s="20">
        <f t="shared" ca="1" si="10"/>
        <v>1</v>
      </c>
      <c r="D9" s="20">
        <f t="shared" ca="1" si="0"/>
        <v>22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21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>
        <f t="shared" ca="1" si="2"/>
        <v>14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>
        <f ca="1"/>
        <v>8</v>
      </c>
      <c r="R9" s="20">
        <f t="shared" ca="1" si="13"/>
        <v>1</v>
      </c>
      <c r="S9" s="20">
        <f t="shared" ca="1" si="3"/>
        <v>12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5">
      <c r="B10" s="19" t="str">
        <f ca="1"/>
        <v/>
      </c>
      <c r="C10" s="20">
        <f ca="1">C9--(E9=0)</f>
        <v>1</v>
      </c>
      <c r="D10" s="20">
        <f t="shared" ca="1" si="0"/>
        <v>22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21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>
        <f t="shared" ca="1" si="2"/>
        <v>14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>
        <f ca="1"/>
        <v>9</v>
      </c>
      <c r="R10" s="20">
        <f t="shared" ca="1" si="13"/>
        <v>1</v>
      </c>
      <c r="S10" s="20">
        <f t="shared" ca="1" si="3"/>
        <v>12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5">
      <c r="B11" s="19" t="str">
        <f ca="1"/>
        <v/>
      </c>
      <c r="C11" s="20">
        <f t="shared" ref="C11:C74" ca="1" si="20">C10--(E10=0)</f>
        <v>1</v>
      </c>
      <c r="D11" s="20">
        <f t="shared" ca="1" si="0"/>
        <v>22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21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>
        <f t="shared" ca="1" si="2"/>
        <v>14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12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5">
      <c r="B12" s="19" t="str">
        <f ca="1"/>
        <v/>
      </c>
      <c r="C12" s="20">
        <f t="shared" ca="1" si="20"/>
        <v>2</v>
      </c>
      <c r="D12" s="20">
        <f t="shared" ca="1" si="0"/>
        <v>18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20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2</v>
      </c>
      <c r="N12" s="20">
        <f t="shared" ca="1" si="2"/>
        <v>13</v>
      </c>
      <c r="O12" s="20" cm="1">
        <f t="array" aca="1" ref="O12" ca="1">IF(N12="","",IF(N12&lt;&gt;N11,1,IF(O11=misLíneas-2,0,O11+1)))</f>
        <v>1</v>
      </c>
      <c r="P12" s="20" t="str" cm="1">
        <f t="array" aca="1" ref="P12" ca="1">IF(OR(O12=0,O12=""),"",INDEX(misCriticidades,N12)&amp;"-"&amp;IFERROR(MATCH(O12,miOrdenTarjeta,0),0))</f>
        <v>2-1</v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5">
      <c r="B13" s="19" t="str">
        <f ca="1"/>
        <v/>
      </c>
      <c r="C13" s="20">
        <f t="shared" ca="1" si="20"/>
        <v>2</v>
      </c>
      <c r="D13" s="20">
        <f t="shared" ca="1" si="0"/>
        <v>18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20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2</v>
      </c>
      <c r="N13" s="20">
        <f t="shared" ca="1" si="2"/>
        <v>13</v>
      </c>
      <c r="O13" s="20" cm="1">
        <f t="array" aca="1" ref="O13" ca="1">IF(N13="","",IF(N13&lt;&gt;N12,1,IF(O12=misLíneas-2,0,O12+1)))</f>
        <v>2</v>
      </c>
      <c r="P13" s="20" t="str" cm="1">
        <f t="array" aca="1" ref="P13" ca="1">IF(OR(O13=0,O13=""),"",INDEX(misCriticidades,N13)&amp;"-"&amp;IFERROR(MATCH(O13,miOrdenTarjeta,0),0))</f>
        <v>2-2</v>
      </c>
      <c r="Q13" s="19">
        <f ca="1"/>
        <v>12</v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5">
      <c r="B14" s="19" t="str">
        <f ca="1"/>
        <v/>
      </c>
      <c r="C14" s="20">
        <f t="shared" ca="1" si="20"/>
        <v>2</v>
      </c>
      <c r="D14" s="20">
        <f t="shared" ca="1" si="0"/>
        <v>18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20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>
        <f ca="1"/>
        <v>13</v>
      </c>
      <c r="M14" s="20">
        <f t="shared" ca="1" si="12"/>
        <v>2</v>
      </c>
      <c r="N14" s="20">
        <f t="shared" ca="1" si="2"/>
        <v>13</v>
      </c>
      <c r="O14" s="20" cm="1">
        <f t="array" aca="1" ref="O14" ca="1">IF(N14="","",IF(N14&lt;&gt;N13,1,IF(O13=misLíneas-2,0,O13+1)))</f>
        <v>3</v>
      </c>
      <c r="P14" s="20" t="str" cm="1">
        <f t="array" aca="1" ref="P14" ca="1">IF(OR(O14=0,O14=""),"",INDEX(misCriticidades,N14)&amp;"-"&amp;IFERROR(MATCH(O14,miOrdenTarjeta,0),0))</f>
        <v>2-3</v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5">
      <c r="B15" s="19" t="str">
        <f ca="1"/>
        <v/>
      </c>
      <c r="C15" s="20">
        <f t="shared" ca="1" si="20"/>
        <v>2</v>
      </c>
      <c r="D15" s="20">
        <f t="shared" ca="1" si="0"/>
        <v>18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20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>
        <f ca="1"/>
        <v>14</v>
      </c>
      <c r="M15" s="20">
        <f t="shared" ca="1" si="12"/>
        <v>2</v>
      </c>
      <c r="N15" s="20">
        <f t="shared" ca="1" si="2"/>
        <v>13</v>
      </c>
      <c r="O15" s="20" cm="1">
        <f t="array" aca="1" ref="O15" ca="1">IF(N15="","",IF(N15&lt;&gt;N14,1,IF(O14=misLíneas-2,0,O14+1)))</f>
        <v>4</v>
      </c>
      <c r="P15" s="20" t="str" cm="1">
        <f t="array" aca="1" ref="P15" ca="1">IF(OR(O15=0,O15=""),"",INDEX(misCriticidades,N15)&amp;"-"&amp;IFERROR(MATCH(O15,miOrdenTarjeta,0),0))</f>
        <v>2-4</v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5">
      <c r="B16" s="19" t="str">
        <f ca="1"/>
        <v/>
      </c>
      <c r="C16" s="20">
        <f t="shared" ca="1" si="20"/>
        <v>2</v>
      </c>
      <c r="D16" s="20">
        <f t="shared" ca="1" si="0"/>
        <v>18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>
        <f ca="1"/>
        <v>15</v>
      </c>
      <c r="H16" s="20">
        <f t="shared" ca="1" si="11"/>
        <v>2</v>
      </c>
      <c r="I16" s="20">
        <f t="shared" ca="1" si="1"/>
        <v>20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2</v>
      </c>
      <c r="N16" s="20">
        <f t="shared" ca="1" si="2"/>
        <v>13</v>
      </c>
      <c r="O16" s="20" cm="1">
        <f t="array" aca="1" ref="O16" ca="1">IF(N16="","",IF(N16&lt;&gt;N15,1,IF(O15=misLíneas-2,0,O15+1)))</f>
        <v>5</v>
      </c>
      <c r="P16" s="20" t="str" cm="1">
        <f t="array" aca="1" ref="P16" ca="1">IF(OR(O16=0,O16=""),"",INDEX(misCriticidades,N16)&amp;"-"&amp;IFERROR(MATCH(O16,miOrdenTarjeta,0),0))</f>
        <v>2-5</v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5">
      <c r="B17" s="19" t="str">
        <f ca="1"/>
        <v/>
      </c>
      <c r="C17" s="20">
        <f t="shared" ca="1" si="20"/>
        <v>2</v>
      </c>
      <c r="D17" s="20">
        <f t="shared" ca="1" si="0"/>
        <v>18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20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2</v>
      </c>
      <c r="N17" s="20">
        <f t="shared" ca="1" si="2"/>
        <v>13</v>
      </c>
      <c r="O17" s="20" cm="1">
        <f t="array" aca="1" ref="O17" ca="1">IF(N17="","",IF(N17&lt;&gt;N16,1,IF(O16=misLíneas-2,0,O16+1)))</f>
        <v>6</v>
      </c>
      <c r="P17" s="20" t="str" cm="1">
        <f t="array" aca="1" ref="P17" ca="1">IF(OR(O17=0,O17=""),"",INDEX(misCriticidades,N17)&amp;"-"&amp;IFERROR(MATCH(O17,miOrdenTarjeta,0),0))</f>
        <v>2-6</v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5">
      <c r="B18" s="19">
        <f ca="1"/>
        <v>17</v>
      </c>
      <c r="C18" s="20">
        <f t="shared" ca="1" si="20"/>
        <v>2</v>
      </c>
      <c r="D18" s="20">
        <f t="shared" ca="1" si="0"/>
        <v>18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20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2</v>
      </c>
      <c r="N18" s="20">
        <f t="shared" ca="1" si="2"/>
        <v>13</v>
      </c>
      <c r="O18" s="20" cm="1">
        <f t="array" aca="1" ref="O18" ca="1">IF(N18="","",IF(N18&lt;&gt;N17,1,IF(O17=misLíneas-2,0,O17+1)))</f>
        <v>7</v>
      </c>
      <c r="P18" s="20" t="str" cm="1">
        <f t="array" aca="1" ref="P18" ca="1">IF(OR(O18=0,O18=""),"",INDEX(misCriticidades,N18)&amp;"-"&amp;IFERROR(MATCH(O18,miOrdenTarjeta,0),0))</f>
        <v>2-7</v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5">
      <c r="B19" s="19">
        <f ca="1"/>
        <v>18</v>
      </c>
      <c r="C19" s="20">
        <f t="shared" ca="1" si="20"/>
        <v>2</v>
      </c>
      <c r="D19" s="20">
        <f t="shared" ca="1" si="0"/>
        <v>18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20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2</v>
      </c>
      <c r="N19" s="20">
        <f t="shared" ca="1" si="2"/>
        <v>13</v>
      </c>
      <c r="O19" s="20" cm="1">
        <f t="array" aca="1" ref="O19" ca="1">IF(N19="","",IF(N19&lt;&gt;N18,1,IF(O18=misLíneas-2,0,O18+1)))</f>
        <v>8</v>
      </c>
      <c r="P19" s="20" t="str" cm="1">
        <f t="array" aca="1" ref="P19" ca="1">IF(OR(O19=0,O19=""),"",INDEX(misCriticidades,N19)&amp;"-"&amp;IFERROR(MATCH(O19,miOrdenTarjeta,0),0))</f>
        <v>2-8</v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5">
      <c r="B20" s="19" t="str">
        <f ca="1"/>
        <v/>
      </c>
      <c r="C20" s="20">
        <f t="shared" ca="1" si="20"/>
        <v>2</v>
      </c>
      <c r="D20" s="20">
        <f t="shared" ca="1" si="0"/>
        <v>18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>
        <f ca="1"/>
        <v>19</v>
      </c>
      <c r="H20" s="20">
        <f t="shared" ca="1" si="11"/>
        <v>2</v>
      </c>
      <c r="I20" s="20">
        <f t="shared" ca="1" si="1"/>
        <v>20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>
        <f t="shared" ca="1" si="2"/>
        <v>13</v>
      </c>
      <c r="O20" s="20" cm="1">
        <f t="array" aca="1" ref="O20" ca="1">IF(N20="","",IF(N20&lt;&gt;N19,1,IF(O19=misLíneas-2,0,O19+1)))</f>
        <v>0</v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5">
      <c r="B21" s="19" t="str">
        <f ca="1"/>
        <v/>
      </c>
      <c r="C21" s="20">
        <f t="shared" ca="1" si="20"/>
        <v>3</v>
      </c>
      <c r="D21" s="20">
        <f t="shared" ca="1" si="0"/>
        <v>17</v>
      </c>
      <c r="E21" s="20" cm="1">
        <f t="array" aca="1" ref="E21" ca="1">IF(D21="","",IF(D21&lt;&gt;D20,1,IF(E20=misLíneas-2,0,E20+1)))</f>
        <v>1</v>
      </c>
      <c r="F21" s="20" t="str" cm="1">
        <f t="array" aca="1" ref="F21" ca="1">IF(OR(E21=0,E21=""),"",INDEX(misCriticidades,D21)&amp;"-"&amp;IFERROR(MATCH(E21,miOrdenTarjeta,0),0))</f>
        <v>2-1</v>
      </c>
      <c r="G21" s="19">
        <f ca="1"/>
        <v>20</v>
      </c>
      <c r="H21" s="20">
        <f t="shared" ca="1" si="11"/>
        <v>3</v>
      </c>
      <c r="I21" s="20">
        <f t="shared" ca="1" si="1"/>
        <v>19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3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5">
      <c r="B22" s="19" t="str">
        <f ca="1"/>
        <v/>
      </c>
      <c r="C22" s="20">
        <f t="shared" ca="1" si="20"/>
        <v>3</v>
      </c>
      <c r="D22" s="20">
        <f t="shared" ca="1" si="0"/>
        <v>17</v>
      </c>
      <c r="E22" s="20" cm="1">
        <f t="array" aca="1" ref="E22" ca="1">IF(D22="","",IF(D22&lt;&gt;D21,1,IF(E21=misLíneas-2,0,E21+1)))</f>
        <v>2</v>
      </c>
      <c r="F22" s="20" t="str" cm="1">
        <f t="array" aca="1" ref="F22" ca="1">IF(OR(E22=0,E22=""),"",INDEX(misCriticidades,D22)&amp;"-"&amp;IFERROR(MATCH(E22,miOrdenTarjeta,0),0))</f>
        <v>2-2</v>
      </c>
      <c r="G22" s="19">
        <f ca="1"/>
        <v>21</v>
      </c>
      <c r="H22" s="20">
        <f t="shared" ca="1" si="11"/>
        <v>3</v>
      </c>
      <c r="I22" s="20">
        <f t="shared" ca="1" si="1"/>
        <v>19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3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5">
      <c r="B23" s="19">
        <f ca="1"/>
        <v>22</v>
      </c>
      <c r="C23" s="20">
        <f t="shared" ca="1" si="20"/>
        <v>3</v>
      </c>
      <c r="D23" s="20">
        <f t="shared" ca="1" si="0"/>
        <v>17</v>
      </c>
      <c r="E23" s="20" cm="1">
        <f t="array" aca="1" ref="E23" ca="1">IF(D23="","",IF(D23&lt;&gt;D22,1,IF(E22=misLíneas-2,0,E22+1)))</f>
        <v>3</v>
      </c>
      <c r="F23" s="20" t="str" cm="1">
        <f t="array" aca="1" ref="F23" ca="1">IF(OR(E23=0,E23=""),"",INDEX(misCriticidades,D23)&amp;"-"&amp;IFERROR(MATCH(E23,miOrdenTarjeta,0),0))</f>
        <v>2-3</v>
      </c>
      <c r="G23" s="19" t="str">
        <f ca="1"/>
        <v/>
      </c>
      <c r="H23" s="20">
        <f t="shared" ca="1" si="11"/>
        <v>3</v>
      </c>
      <c r="I23" s="20">
        <f t="shared" ca="1" si="1"/>
        <v>19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3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5">
      <c r="B24" s="19" t="str">
        <f ca="1"/>
        <v/>
      </c>
      <c r="C24" s="20">
        <f t="shared" ca="1" si="20"/>
        <v>3</v>
      </c>
      <c r="D24" s="20">
        <f t="shared" ca="1" si="0"/>
        <v>17</v>
      </c>
      <c r="E24" s="20" cm="1">
        <f t="array" aca="1" ref="E24" ca="1">IF(D24="","",IF(D24&lt;&gt;D23,1,IF(E23=misLíneas-2,0,E23+1)))</f>
        <v>4</v>
      </c>
      <c r="F24" s="20" t="str" cm="1">
        <f t="array" aca="1" ref="F24" ca="1">IF(OR(E24=0,E24=""),"",INDEX(misCriticidades,D24)&amp;"-"&amp;IFERROR(MATCH(E24,miOrdenTarjeta,0),0))</f>
        <v>2-4</v>
      </c>
      <c r="G24" s="19" t="str">
        <f ca="1"/>
        <v/>
      </c>
      <c r="H24" s="20">
        <f t="shared" ca="1" si="11"/>
        <v>3</v>
      </c>
      <c r="I24" s="20">
        <f t="shared" ca="1" si="1"/>
        <v>19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3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5">
      <c r="B25" s="19" t="str">
        <f ca="1"/>
        <v/>
      </c>
      <c r="C25" s="20">
        <f t="shared" ca="1" si="20"/>
        <v>3</v>
      </c>
      <c r="D25" s="20">
        <f t="shared" ca="1" si="0"/>
        <v>17</v>
      </c>
      <c r="E25" s="20" cm="1">
        <f t="array" aca="1" ref="E25" ca="1">IF(D25="","",IF(D25&lt;&gt;D24,1,IF(E24=misLíneas-2,0,E24+1)))</f>
        <v>5</v>
      </c>
      <c r="F25" s="20" t="str" cm="1">
        <f t="array" aca="1" ref="F25" ca="1">IF(OR(E25=0,E25=""),"",INDEX(misCriticidades,D25)&amp;"-"&amp;IFERROR(MATCH(E25,miOrdenTarjeta,0),0))</f>
        <v>2-5</v>
      </c>
      <c r="G25" s="19" t="str">
        <f ca="1"/>
        <v/>
      </c>
      <c r="H25" s="20">
        <f t="shared" ca="1" si="11"/>
        <v>3</v>
      </c>
      <c r="I25" s="20">
        <f t="shared" ca="1" si="1"/>
        <v>19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3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5">
      <c r="B26" s="19" t="str">
        <f ca="1"/>
        <v/>
      </c>
      <c r="C26" s="20">
        <f t="shared" ca="1" si="20"/>
        <v>3</v>
      </c>
      <c r="D26" s="20">
        <f t="shared" ca="1" si="0"/>
        <v>17</v>
      </c>
      <c r="E26" s="20" cm="1">
        <f t="array" aca="1" ref="E26" ca="1">IF(D26="","",IF(D26&lt;&gt;D25,1,IF(E25=misLíneas-2,0,E25+1)))</f>
        <v>6</v>
      </c>
      <c r="F26" s="20" t="str" cm="1">
        <f t="array" aca="1" ref="F26" ca="1">IF(OR(E26=0,E26=""),"",INDEX(misCriticidades,D26)&amp;"-"&amp;IFERROR(MATCH(E26,miOrdenTarjeta,0),0))</f>
        <v>2-6</v>
      </c>
      <c r="G26" s="19" t="str">
        <f ca="1"/>
        <v/>
      </c>
      <c r="H26" s="20">
        <f t="shared" ca="1" si="11"/>
        <v>3</v>
      </c>
      <c r="I26" s="20">
        <f t="shared" ca="1" si="1"/>
        <v>19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3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5">
      <c r="B27" s="19" t="str">
        <f ca="1"/>
        <v/>
      </c>
      <c r="C27" s="20">
        <f t="shared" ca="1" si="20"/>
        <v>3</v>
      </c>
      <c r="D27" s="20">
        <f t="shared" ca="1" si="0"/>
        <v>17</v>
      </c>
      <c r="E27" s="20" cm="1">
        <f t="array" aca="1" ref="E27" ca="1">IF(D27="","",IF(D27&lt;&gt;D26,1,IF(E26=misLíneas-2,0,E26+1)))</f>
        <v>7</v>
      </c>
      <c r="F27" s="20" t="str" cm="1">
        <f t="array" aca="1" ref="F27" ca="1">IF(OR(E27=0,E27=""),"",INDEX(misCriticidades,D27)&amp;"-"&amp;IFERROR(MATCH(E27,miOrdenTarjeta,0),0))</f>
        <v>2-7</v>
      </c>
      <c r="G27" s="19" t="str">
        <f ca="1"/>
        <v/>
      </c>
      <c r="H27" s="20">
        <f t="shared" ca="1" si="11"/>
        <v>3</v>
      </c>
      <c r="I27" s="20">
        <f t="shared" ca="1" si="1"/>
        <v>19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3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5">
      <c r="B28" s="19" t="str">
        <f ca="1"/>
        <v/>
      </c>
      <c r="C28" s="20">
        <f t="shared" ca="1" si="20"/>
        <v>3</v>
      </c>
      <c r="D28" s="20">
        <f t="shared" ca="1" si="0"/>
        <v>17</v>
      </c>
      <c r="E28" s="20" cm="1">
        <f t="array" aca="1" ref="E28" ca="1">IF(D28="","",IF(D28&lt;&gt;D27,1,IF(E27=misLíneas-2,0,E27+1)))</f>
        <v>8</v>
      </c>
      <c r="F28" s="20" t="str" cm="1">
        <f t="array" aca="1" ref="F28" ca="1">IF(OR(E28=0,E28=""),"",INDEX(misCriticidades,D28)&amp;"-"&amp;IFERROR(MATCH(E28,miOrdenTarjeta,0),0))</f>
        <v>2-8</v>
      </c>
      <c r="G28" s="19" t="str">
        <f ca="1"/>
        <v/>
      </c>
      <c r="H28" s="20">
        <f t="shared" ca="1" si="11"/>
        <v>3</v>
      </c>
      <c r="I28" s="20">
        <f t="shared" ca="1" si="1"/>
        <v>19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3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5">
      <c r="B29" s="19" t="str">
        <f ca="1"/>
        <v/>
      </c>
      <c r="C29" s="20">
        <f t="shared" ca="1" si="20"/>
        <v>3</v>
      </c>
      <c r="D29" s="20">
        <f t="shared" ca="1" si="0"/>
        <v>17</v>
      </c>
      <c r="E29" s="20" cm="1">
        <f t="array" aca="1" ref="E29" ca="1">IF(D29="","",IF(D29&lt;&gt;D28,1,IF(E28=misLíneas-2,0,E28+1)))</f>
        <v>0</v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19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3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5">
      <c r="B30" s="19" t="str">
        <f ca="1"/>
        <v/>
      </c>
      <c r="C30" s="20">
        <f t="shared" ca="1" si="20"/>
        <v>4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16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2-1</v>
      </c>
      <c r="L30" s="19" t="str">
        <f ca="1"/>
        <v/>
      </c>
      <c r="M30" s="20">
        <f t="shared" ca="1" si="12"/>
        <v>3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5">
      <c r="B31" s="19" t="str">
        <f ca="1"/>
        <v/>
      </c>
      <c r="C31" s="20">
        <f t="shared" ca="1" si="20"/>
        <v>4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16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2-2</v>
      </c>
      <c r="L31" s="19" t="str">
        <f ca="1"/>
        <v/>
      </c>
      <c r="M31" s="20">
        <f t="shared" ca="1" si="12"/>
        <v>3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5">
      <c r="B32" s="19" t="str">
        <f ca="1"/>
        <v/>
      </c>
      <c r="C32" s="20">
        <f t="shared" ca="1" si="20"/>
        <v>4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16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2-3</v>
      </c>
      <c r="L32" s="19" t="str">
        <f ca="1"/>
        <v/>
      </c>
      <c r="M32" s="20">
        <f t="shared" ca="1" si="12"/>
        <v>3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5">
      <c r="B33" s="19" t="str">
        <f ca="1"/>
        <v/>
      </c>
      <c r="C33" s="20">
        <f t="shared" ca="1" si="20"/>
        <v>4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16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2-4</v>
      </c>
      <c r="L33" s="19" t="str">
        <f ca="1"/>
        <v/>
      </c>
      <c r="M33" s="20">
        <f t="shared" ca="1" si="12"/>
        <v>3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5">
      <c r="B34" s="19" t="str">
        <f ca="1"/>
        <v/>
      </c>
      <c r="C34" s="20">
        <f t="shared" ca="1" si="20"/>
        <v>4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16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2-5</v>
      </c>
      <c r="L34" s="19" t="str">
        <f ca="1"/>
        <v/>
      </c>
      <c r="M34" s="20">
        <f t="shared" ca="1" si="12"/>
        <v>3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5">
      <c r="B35" s="19" t="str">
        <f ca="1"/>
        <v/>
      </c>
      <c r="C35" s="20">
        <f t="shared" ca="1" si="20"/>
        <v>4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16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2-6</v>
      </c>
      <c r="L35" s="19" t="str">
        <f ca="1"/>
        <v/>
      </c>
      <c r="M35" s="20">
        <f t="shared" ca="1" si="12"/>
        <v>3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5">
      <c r="B36" s="19" t="str">
        <f ca="1"/>
        <v/>
      </c>
      <c r="C36" s="20">
        <f t="shared" ca="1" si="20"/>
        <v>4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16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2-7</v>
      </c>
      <c r="L36" s="19" t="str">
        <f ca="1"/>
        <v/>
      </c>
      <c r="M36" s="20">
        <f t="shared" ca="1" si="12"/>
        <v>3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5">
      <c r="B37" s="19" t="str">
        <f ca="1"/>
        <v/>
      </c>
      <c r="C37" s="20">
        <f t="shared" ca="1" si="20"/>
        <v>4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16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2-8</v>
      </c>
      <c r="L37" s="19" t="str">
        <f ca="1"/>
        <v/>
      </c>
      <c r="M37" s="20">
        <f t="shared" ca="1" si="12"/>
        <v>3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5">
      <c r="B38" s="19" t="str">
        <f ca="1"/>
        <v/>
      </c>
      <c r="C38" s="20">
        <f t="shared" ca="1" si="20"/>
        <v>4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16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3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5">
      <c r="B39" s="19" t="str">
        <f ca="1"/>
        <v/>
      </c>
      <c r="C39" s="20">
        <f t="shared" ca="1" si="20"/>
        <v>4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15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2-1</v>
      </c>
      <c r="L39" s="19" t="str">
        <f ca="1"/>
        <v/>
      </c>
      <c r="M39" s="20">
        <f t="shared" ca="1" si="12"/>
        <v>3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5">
      <c r="B40" s="19" t="str">
        <f ca="1"/>
        <v/>
      </c>
      <c r="C40" s="20">
        <f t="shared" ca="1" si="20"/>
        <v>4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15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2-2</v>
      </c>
      <c r="L40" s="19" t="str">
        <f ca="1"/>
        <v/>
      </c>
      <c r="M40" s="20">
        <f t="shared" ca="1" si="12"/>
        <v>3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5">
      <c r="B41" s="19" t="str">
        <f ca="1"/>
        <v/>
      </c>
      <c r="C41" s="20">
        <f t="shared" ca="1" si="20"/>
        <v>4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15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2-3</v>
      </c>
      <c r="L41" s="19" t="str">
        <f ca="1"/>
        <v/>
      </c>
      <c r="M41" s="20">
        <f t="shared" ca="1" si="12"/>
        <v>3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5">
      <c r="B42" s="19" t="str">
        <f ca="1"/>
        <v/>
      </c>
      <c r="C42" s="20">
        <f t="shared" ca="1" si="20"/>
        <v>4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15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2-4</v>
      </c>
      <c r="L42" s="19" t="str">
        <f ca="1"/>
        <v/>
      </c>
      <c r="M42" s="20">
        <f t="shared" ca="1" si="12"/>
        <v>3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5">
      <c r="B43" s="19" t="str">
        <f ca="1"/>
        <v/>
      </c>
      <c r="C43" s="20">
        <f t="shared" ca="1" si="20"/>
        <v>4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15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2-5</v>
      </c>
      <c r="L43" s="19" t="str">
        <f ca="1"/>
        <v/>
      </c>
      <c r="M43" s="20">
        <f t="shared" ca="1" si="12"/>
        <v>3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5">
      <c r="B44" s="19" t="str">
        <f ca="1"/>
        <v/>
      </c>
      <c r="C44" s="20">
        <f t="shared" ca="1" si="20"/>
        <v>4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15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2-6</v>
      </c>
      <c r="L44" s="19" t="str">
        <f ca="1"/>
        <v/>
      </c>
      <c r="M44" s="20">
        <f t="shared" ca="1" si="12"/>
        <v>3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5">
      <c r="B45" s="19" t="str">
        <f ca="1"/>
        <v/>
      </c>
      <c r="C45" s="20">
        <f t="shared" ca="1" si="20"/>
        <v>4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15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2-7</v>
      </c>
      <c r="L45" s="19" t="str">
        <f ca="1"/>
        <v/>
      </c>
      <c r="M45" s="20">
        <f t="shared" ca="1" si="12"/>
        <v>3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5">
      <c r="B46" s="19" t="str">
        <f ca="1"/>
        <v/>
      </c>
      <c r="C46" s="20">
        <f t="shared" ca="1" si="20"/>
        <v>4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15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2-8</v>
      </c>
      <c r="L46" s="19" t="str">
        <f ca="1"/>
        <v/>
      </c>
      <c r="M46" s="20">
        <f t="shared" ca="1" si="12"/>
        <v>3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5">
      <c r="B47" s="19" t="str">
        <f ca="1"/>
        <v/>
      </c>
      <c r="C47" s="20">
        <f t="shared" ca="1" si="20"/>
        <v>4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15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3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5">
      <c r="B48" s="19" t="str">
        <f ca="1"/>
        <v/>
      </c>
      <c r="C48" s="20">
        <f t="shared" ca="1" si="20"/>
        <v>4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3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5">
      <c r="B49" s="19" t="str">
        <f ca="1"/>
        <v/>
      </c>
      <c r="C49" s="20">
        <f t="shared" ca="1" si="20"/>
        <v>4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3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5">
      <c r="B50" s="19" t="str">
        <f ca="1"/>
        <v/>
      </c>
      <c r="C50" s="20">
        <f t="shared" ca="1" si="20"/>
        <v>4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3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5">
      <c r="B51" s="19" t="str">
        <f ca="1"/>
        <v/>
      </c>
      <c r="C51" s="20">
        <f t="shared" ca="1" si="20"/>
        <v>4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3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5">
      <c r="B52" s="19" t="str">
        <f ca="1"/>
        <v/>
      </c>
      <c r="C52" s="20">
        <f t="shared" ca="1" si="20"/>
        <v>4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3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5">
      <c r="B53" s="19" t="str">
        <f ca="1"/>
        <v/>
      </c>
      <c r="C53" s="20">
        <f t="shared" ca="1" si="20"/>
        <v>4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3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5">
      <c r="B54" s="19" t="str">
        <f ca="1"/>
        <v/>
      </c>
      <c r="C54" s="20">
        <f t="shared" ca="1" si="20"/>
        <v>4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3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5">
      <c r="B55" s="19" t="str">
        <f ca="1"/>
        <v/>
      </c>
      <c r="C55" s="20">
        <f t="shared" ca="1" si="20"/>
        <v>4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3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5">
      <c r="B56" s="19" t="str">
        <f ca="1"/>
        <v/>
      </c>
      <c r="C56" s="20">
        <f t="shared" ca="1" si="20"/>
        <v>4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3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5">
      <c r="B57" s="19" t="str">
        <f ca="1"/>
        <v/>
      </c>
      <c r="C57" s="20">
        <f t="shared" ca="1" si="20"/>
        <v>4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6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3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5">
      <c r="B58" s="19" t="str">
        <f ca="1"/>
        <v/>
      </c>
      <c r="C58" s="20">
        <f t="shared" ca="1" si="20"/>
        <v>4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6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3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5">
      <c r="B59" s="19" t="str">
        <f ca="1"/>
        <v/>
      </c>
      <c r="C59" s="20">
        <f t="shared" ca="1" si="20"/>
        <v>4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6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3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5">
      <c r="B60" s="19" t="str">
        <f ca="1"/>
        <v/>
      </c>
      <c r="C60" s="20">
        <f t="shared" ca="1" si="20"/>
        <v>4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6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3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5">
      <c r="B61" s="19" t="str">
        <f ca="1"/>
        <v/>
      </c>
      <c r="C61" s="20">
        <f t="shared" ca="1" si="20"/>
        <v>4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6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3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5">
      <c r="B62" s="19" t="str">
        <f ca="1"/>
        <v/>
      </c>
      <c r="C62" s="20">
        <f t="shared" ca="1" si="20"/>
        <v>4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6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3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5">
      <c r="B63" s="19" t="str">
        <f ca="1"/>
        <v/>
      </c>
      <c r="C63" s="20">
        <f t="shared" ca="1" si="20"/>
        <v>4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6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3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5">
      <c r="B64" s="19" t="str">
        <f ca="1"/>
        <v/>
      </c>
      <c r="C64" s="20">
        <f t="shared" ca="1" si="20"/>
        <v>4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6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3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5">
      <c r="B65" s="19" t="str">
        <f ca="1"/>
        <v/>
      </c>
      <c r="C65" s="20">
        <f t="shared" ca="1" si="20"/>
        <v>4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6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3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5">
      <c r="B66" s="19" t="str">
        <f ca="1"/>
        <v/>
      </c>
      <c r="C66" s="20">
        <f t="shared" ca="1" si="20"/>
        <v>4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6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3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5">
      <c r="B67" s="19" t="str">
        <f ca="1"/>
        <v/>
      </c>
      <c r="C67" s="20">
        <f t="shared" ca="1" si="20"/>
        <v>4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6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3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5">
      <c r="B68" s="19" t="str">
        <f ca="1"/>
        <v/>
      </c>
      <c r="C68" s="20">
        <f t="shared" ca="1" si="20"/>
        <v>4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6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3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5">
      <c r="B69" s="19" t="str">
        <f ca="1"/>
        <v/>
      </c>
      <c r="C69" s="20">
        <f t="shared" ca="1" si="20"/>
        <v>4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6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3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5">
      <c r="B70" s="19" t="str">
        <f ca="1"/>
        <v/>
      </c>
      <c r="C70" s="20">
        <f t="shared" ca="1" si="20"/>
        <v>4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6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3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5">
      <c r="B71" s="19" t="str">
        <f ca="1"/>
        <v/>
      </c>
      <c r="C71" s="20">
        <f t="shared" ca="1" si="20"/>
        <v>4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6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3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5">
      <c r="B72" s="19" t="str">
        <f ca="1"/>
        <v/>
      </c>
      <c r="C72" s="20">
        <f t="shared" ca="1" si="20"/>
        <v>4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6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3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5">
      <c r="B73" s="19" t="str">
        <f ca="1"/>
        <v/>
      </c>
      <c r="C73" s="20">
        <f t="shared" ca="1" si="20"/>
        <v>4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6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3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5">
      <c r="B74" s="19" t="str">
        <f ca="1"/>
        <v/>
      </c>
      <c r="C74" s="20">
        <f t="shared" ca="1" si="20"/>
        <v>4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6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3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5">
      <c r="B75" s="19" t="str">
        <f ca="1"/>
        <v/>
      </c>
      <c r="C75" s="20">
        <f t="shared" ref="C75:C138" ca="1" si="45">C74--(E74=0)</f>
        <v>4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6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3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5">
      <c r="B76" s="19" t="str">
        <f ca="1"/>
        <v/>
      </c>
      <c r="C76" s="20">
        <f t="shared" ca="1" si="45"/>
        <v>4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6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3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5">
      <c r="B77" s="19" t="str">
        <f ca="1"/>
        <v/>
      </c>
      <c r="C77" s="20">
        <f t="shared" ca="1" si="45"/>
        <v>4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6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3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5">
      <c r="B78" s="19" t="str">
        <f ca="1"/>
        <v/>
      </c>
      <c r="C78" s="20">
        <f t="shared" ca="1" si="45"/>
        <v>4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6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3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5">
      <c r="B79" s="19" t="str">
        <f ca="1"/>
        <v/>
      </c>
      <c r="C79" s="20">
        <f t="shared" ca="1" si="45"/>
        <v>4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6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3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5">
      <c r="B80" s="19" t="str">
        <f ca="1"/>
        <v/>
      </c>
      <c r="C80" s="20">
        <f t="shared" ca="1" si="45"/>
        <v>4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6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3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5">
      <c r="B81" s="19" t="str">
        <f ca="1"/>
        <v/>
      </c>
      <c r="C81" s="20">
        <f t="shared" ca="1" si="45"/>
        <v>4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6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3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5">
      <c r="B82" s="19" t="str">
        <f ca="1"/>
        <v/>
      </c>
      <c r="C82" s="20">
        <f t="shared" ca="1" si="45"/>
        <v>4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6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3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5">
      <c r="B83" s="19" t="str">
        <f ca="1"/>
        <v/>
      </c>
      <c r="C83" s="20">
        <f t="shared" ca="1" si="45"/>
        <v>4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6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3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5">
      <c r="B84" s="19" t="str">
        <f ca="1"/>
        <v/>
      </c>
      <c r="C84" s="20">
        <f t="shared" ca="1" si="45"/>
        <v>4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6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3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5">
      <c r="B85" s="19" t="str">
        <f ca="1"/>
        <v/>
      </c>
      <c r="C85" s="20">
        <f t="shared" ca="1" si="45"/>
        <v>4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6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3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5">
      <c r="B86" s="19" t="str">
        <f ca="1"/>
        <v/>
      </c>
      <c r="C86" s="20">
        <f t="shared" ca="1" si="45"/>
        <v>4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6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3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5">
      <c r="B87" s="19" t="str">
        <f ca="1"/>
        <v/>
      </c>
      <c r="C87" s="20">
        <f t="shared" ca="1" si="45"/>
        <v>4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6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3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5">
      <c r="B88" s="19" t="str">
        <f ca="1"/>
        <v/>
      </c>
      <c r="C88" s="20">
        <f t="shared" ca="1" si="45"/>
        <v>4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6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3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5">
      <c r="B89" s="19" t="str">
        <f ca="1"/>
        <v/>
      </c>
      <c r="C89" s="20">
        <f t="shared" ca="1" si="45"/>
        <v>4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6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3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5">
      <c r="B90" s="19" t="str">
        <f ca="1"/>
        <v/>
      </c>
      <c r="C90" s="20">
        <f t="shared" ca="1" si="45"/>
        <v>4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6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3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5">
      <c r="B91" s="19" t="str">
        <f ca="1"/>
        <v/>
      </c>
      <c r="C91" s="20">
        <f t="shared" ca="1" si="45"/>
        <v>4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6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3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5">
      <c r="B92" s="19" t="str">
        <f ca="1"/>
        <v/>
      </c>
      <c r="C92" s="20">
        <f t="shared" ca="1" si="45"/>
        <v>4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6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3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5">
      <c r="B93" s="19" t="str">
        <f ca="1"/>
        <v/>
      </c>
      <c r="C93" s="20">
        <f t="shared" ca="1" si="45"/>
        <v>4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6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3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5">
      <c r="B94" s="19" t="str">
        <f ca="1"/>
        <v/>
      </c>
      <c r="C94" s="20">
        <f t="shared" ca="1" si="45"/>
        <v>4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6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3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5">
      <c r="B95" s="19" t="str">
        <f ca="1"/>
        <v/>
      </c>
      <c r="C95" s="20">
        <f t="shared" ca="1" si="45"/>
        <v>4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6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3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5">
      <c r="B96" s="19" t="str">
        <f ca="1"/>
        <v/>
      </c>
      <c r="C96" s="20">
        <f t="shared" ca="1" si="45"/>
        <v>4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6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3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5">
      <c r="B97" s="19" t="str">
        <f ca="1"/>
        <v/>
      </c>
      <c r="C97" s="20">
        <f t="shared" ca="1" si="45"/>
        <v>4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6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3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5">
      <c r="B98" s="19" t="str">
        <f ca="1"/>
        <v/>
      </c>
      <c r="C98" s="20">
        <f t="shared" ca="1" si="45"/>
        <v>4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6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3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5">
      <c r="B99" s="19" t="str">
        <f ca="1"/>
        <v/>
      </c>
      <c r="C99" s="20">
        <f t="shared" ca="1" si="45"/>
        <v>4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6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3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5">
      <c r="B100" s="19" t="str">
        <f ca="1"/>
        <v/>
      </c>
      <c r="C100" s="20">
        <f t="shared" ca="1" si="45"/>
        <v>4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6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3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5">
      <c r="B101" s="19" t="str">
        <f ca="1"/>
        <v/>
      </c>
      <c r="C101" s="20">
        <f t="shared" ca="1" si="45"/>
        <v>4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6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3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5">
      <c r="C102" s="20">
        <f t="shared" ca="1" si="45"/>
        <v>4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6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3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5">
      <c r="C103" s="20">
        <f t="shared" ca="1" si="45"/>
        <v>4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6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3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5">
      <c r="C104" s="20">
        <f t="shared" ca="1" si="45"/>
        <v>4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6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3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5">
      <c r="C105" s="20">
        <f t="shared" ca="1" si="45"/>
        <v>4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6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3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5">
      <c r="C106" s="20">
        <f t="shared" ca="1" si="45"/>
        <v>4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6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3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5">
      <c r="C107" s="20">
        <f t="shared" ca="1" si="45"/>
        <v>4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6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3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5">
      <c r="C108" s="20">
        <f t="shared" ca="1" si="45"/>
        <v>4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6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3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5">
      <c r="C109" s="20">
        <f t="shared" ca="1" si="45"/>
        <v>4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6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3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5">
      <c r="C110" s="20">
        <f t="shared" ca="1" si="45"/>
        <v>4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6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3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5">
      <c r="C111" s="20">
        <f t="shared" ca="1" si="45"/>
        <v>4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6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3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5">
      <c r="C112" s="20">
        <f t="shared" ca="1" si="45"/>
        <v>4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6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3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5">
      <c r="C113" s="20">
        <f t="shared" ca="1" si="45"/>
        <v>4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6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3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5">
      <c r="C114" s="20">
        <f t="shared" ca="1" si="45"/>
        <v>4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6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3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5">
      <c r="C115" s="20">
        <f t="shared" ca="1" si="45"/>
        <v>4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6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3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5">
      <c r="C116" s="20">
        <f t="shared" ca="1" si="45"/>
        <v>4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6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3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5">
      <c r="C117" s="20">
        <f t="shared" ca="1" si="45"/>
        <v>4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6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3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5">
      <c r="C118" s="20">
        <f t="shared" ca="1" si="45"/>
        <v>4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6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3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5">
      <c r="C119" s="20">
        <f t="shared" ca="1" si="45"/>
        <v>4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6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3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5">
      <c r="C120" s="20">
        <f t="shared" ca="1" si="45"/>
        <v>4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6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3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5">
      <c r="C121" s="20">
        <f t="shared" ca="1" si="45"/>
        <v>4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6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3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5">
      <c r="C122" s="20">
        <f t="shared" ca="1" si="45"/>
        <v>4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6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3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5">
      <c r="C123" s="20">
        <f t="shared" ca="1" si="45"/>
        <v>4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6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3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5">
      <c r="C124" s="20">
        <f t="shared" ca="1" si="45"/>
        <v>4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6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3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5">
      <c r="C125" s="20">
        <f t="shared" ca="1" si="45"/>
        <v>4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6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3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5">
      <c r="C126" s="20">
        <f t="shared" ca="1" si="45"/>
        <v>4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6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3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5">
      <c r="C127" s="20">
        <f t="shared" ca="1" si="45"/>
        <v>4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6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3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5">
      <c r="C128" s="20">
        <f t="shared" ca="1" si="45"/>
        <v>4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6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3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5">
      <c r="C129" s="20">
        <f t="shared" ca="1" si="45"/>
        <v>4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6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3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5">
      <c r="C130" s="20">
        <f t="shared" ca="1" si="45"/>
        <v>4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6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3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5">
      <c r="C131" s="20">
        <f t="shared" ca="1" si="45"/>
        <v>4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6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3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5">
      <c r="C132" s="20">
        <f t="shared" ca="1" si="45"/>
        <v>4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6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3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5">
      <c r="C133" s="20">
        <f t="shared" ca="1" si="45"/>
        <v>4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6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3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5">
      <c r="C134" s="20">
        <f t="shared" ca="1" si="45"/>
        <v>4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6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3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5">
      <c r="C135" s="20">
        <f t="shared" ca="1" si="45"/>
        <v>4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6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3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5">
      <c r="C136" s="20">
        <f t="shared" ca="1" si="45"/>
        <v>4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6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3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5">
      <c r="C137" s="20">
        <f t="shared" ca="1" si="45"/>
        <v>4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6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3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5">
      <c r="C138" s="20">
        <f t="shared" ca="1" si="45"/>
        <v>4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6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3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5">
      <c r="C139" s="20">
        <f t="shared" ref="C139:C198" ca="1" si="70">C138--(E138=0)</f>
        <v>4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6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3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5">
      <c r="C140" s="20">
        <f t="shared" ca="1" si="70"/>
        <v>4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6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3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5">
      <c r="C141" s="20">
        <f t="shared" ca="1" si="70"/>
        <v>4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6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3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5">
      <c r="C142" s="20">
        <f t="shared" ca="1" si="70"/>
        <v>4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6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3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5">
      <c r="C143" s="20">
        <f t="shared" ca="1" si="70"/>
        <v>4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6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3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5">
      <c r="C144" s="20">
        <f t="shared" ca="1" si="70"/>
        <v>4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6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3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5">
      <c r="C145" s="20">
        <f t="shared" ca="1" si="70"/>
        <v>4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6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3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5">
      <c r="C146" s="20">
        <f t="shared" ca="1" si="70"/>
        <v>4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6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3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5">
      <c r="C147" s="20">
        <f t="shared" ca="1" si="70"/>
        <v>4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6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3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5">
      <c r="C148" s="20">
        <f t="shared" ca="1" si="70"/>
        <v>4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6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3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5">
      <c r="C149" s="20">
        <f t="shared" ca="1" si="70"/>
        <v>4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6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3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5">
      <c r="C150" s="20">
        <f t="shared" ca="1" si="70"/>
        <v>4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6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3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5">
      <c r="C151" s="20">
        <f t="shared" ca="1" si="70"/>
        <v>4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6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3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5">
      <c r="C152" s="20">
        <f t="shared" ca="1" si="70"/>
        <v>4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6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3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5">
      <c r="C153" s="20">
        <f t="shared" ca="1" si="70"/>
        <v>4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6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3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5">
      <c r="C154" s="20">
        <f t="shared" ca="1" si="70"/>
        <v>4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6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3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5">
      <c r="C155" s="20">
        <f t="shared" ca="1" si="70"/>
        <v>4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6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3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5">
      <c r="C156" s="20">
        <f t="shared" ca="1" si="70"/>
        <v>4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6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3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5">
      <c r="C157" s="20">
        <f t="shared" ca="1" si="70"/>
        <v>4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6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3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5">
      <c r="C158" s="20">
        <f t="shared" ca="1" si="70"/>
        <v>4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6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3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5">
      <c r="C159" s="20">
        <f t="shared" ca="1" si="70"/>
        <v>4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6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3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5">
      <c r="C160" s="20">
        <f t="shared" ca="1" si="70"/>
        <v>4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6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3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5">
      <c r="C161" s="20">
        <f t="shared" ca="1" si="70"/>
        <v>4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6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3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5">
      <c r="C162" s="20">
        <f t="shared" ca="1" si="70"/>
        <v>4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6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3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5">
      <c r="C163" s="20">
        <f t="shared" ca="1" si="70"/>
        <v>4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6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3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5">
      <c r="C164" s="20">
        <f t="shared" ca="1" si="70"/>
        <v>4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6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3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5">
      <c r="C165" s="20">
        <f t="shared" ca="1" si="70"/>
        <v>4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6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3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5">
      <c r="C166" s="20">
        <f t="shared" ca="1" si="70"/>
        <v>4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6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3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5">
      <c r="C167" s="20">
        <f t="shared" ca="1" si="70"/>
        <v>4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6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3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5">
      <c r="C168" s="20">
        <f t="shared" ca="1" si="70"/>
        <v>4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6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3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5">
      <c r="C169" s="20">
        <f t="shared" ca="1" si="70"/>
        <v>4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6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3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5">
      <c r="C170" s="20">
        <f t="shared" ca="1" si="70"/>
        <v>4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6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3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5">
      <c r="C171" s="20">
        <f t="shared" ca="1" si="70"/>
        <v>4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6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3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5">
      <c r="C172" s="20">
        <f t="shared" ca="1" si="70"/>
        <v>4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6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3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5">
      <c r="C173" s="20">
        <f t="shared" ca="1" si="70"/>
        <v>4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6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3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5">
      <c r="C174" s="20">
        <f t="shared" ca="1" si="70"/>
        <v>4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6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3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5">
      <c r="C175" s="20">
        <f t="shared" ca="1" si="70"/>
        <v>4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6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3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5">
      <c r="C176" s="20">
        <f t="shared" ca="1" si="70"/>
        <v>4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6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3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5">
      <c r="C177" s="20">
        <f t="shared" ca="1" si="70"/>
        <v>4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6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3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5">
      <c r="C178" s="20">
        <f t="shared" ca="1" si="70"/>
        <v>4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6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3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5">
      <c r="C179" s="20">
        <f t="shared" ca="1" si="70"/>
        <v>4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6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3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5">
      <c r="C180" s="20">
        <f t="shared" ca="1" si="70"/>
        <v>4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6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3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5">
      <c r="C181" s="20">
        <f t="shared" ca="1" si="70"/>
        <v>4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6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3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5">
      <c r="C182" s="20">
        <f t="shared" ca="1" si="70"/>
        <v>4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6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3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5">
      <c r="C183" s="20">
        <f t="shared" ca="1" si="70"/>
        <v>4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6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3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5">
      <c r="C184" s="20">
        <f t="shared" ca="1" si="70"/>
        <v>4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6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3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5">
      <c r="C185" s="20">
        <f t="shared" ca="1" si="70"/>
        <v>4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6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3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5">
      <c r="C186" s="20">
        <f t="shared" ca="1" si="70"/>
        <v>4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6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3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5">
      <c r="C187" s="20">
        <f t="shared" ca="1" si="70"/>
        <v>4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6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3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5">
      <c r="C188" s="20">
        <f t="shared" ca="1" si="70"/>
        <v>4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6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3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5">
      <c r="C189" s="20">
        <f t="shared" ca="1" si="70"/>
        <v>4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6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3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5">
      <c r="C190" s="20">
        <f t="shared" ca="1" si="70"/>
        <v>4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6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3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5">
      <c r="C191" s="20">
        <f t="shared" ca="1" si="70"/>
        <v>4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6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3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5">
      <c r="C192" s="20">
        <f t="shared" ca="1" si="70"/>
        <v>4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6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3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5">
      <c r="C193" s="20">
        <f t="shared" ca="1" si="70"/>
        <v>4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6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3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5">
      <c r="C194" s="20">
        <f t="shared" ca="1" si="70"/>
        <v>4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6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3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5">
      <c r="C195" s="20">
        <f t="shared" ca="1" si="70"/>
        <v>4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6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3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5">
      <c r="C196" s="20">
        <f t="shared" ca="1" si="70"/>
        <v>4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6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3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5">
      <c r="C197" s="20">
        <f t="shared" ca="1" si="70"/>
        <v>4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6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3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5">
      <c r="C198" s="20">
        <f t="shared" ca="1" si="70"/>
        <v>4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6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3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5" zeroHeight="1" x14ac:dyDescent="0.35"/>
  <cols>
    <col min="1" max="7" width="32.54296875" style="2" customWidth="1"/>
    <col min="8" max="16384" width="10.81640625" style="2" hidden="1"/>
  </cols>
  <sheetData>
    <row r="1" spans="1:7" x14ac:dyDescent="0.35">
      <c r="A1" s="27">
        <f>IFERROR(MATCH(miIdioma,misIdiomas,0),1)</f>
        <v>1</v>
      </c>
      <c r="B1" s="2" t="s">
        <v>59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</row>
    <row r="2" spans="1:7" x14ac:dyDescent="0.35">
      <c r="A2" s="32" t="str" cm="1">
        <f t="array" ref="A2">INDEX(TablaIdiomas[#This Row],1,$A$1)&amp;""</f>
        <v>Tablero KANBAN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 x14ac:dyDescent="0.35">
      <c r="A3" s="36" t="str" cm="1">
        <f t="array" ref="A3">INDEX(TablaIdiomas[#This Row],1,$A$1)&amp;""</f>
        <v>Idioma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 x14ac:dyDescent="0.35">
      <c r="A4" s="32" t="str" cm="1">
        <f t="array" ref="A4">INDEX(TablaIdiomas[#This Row],1,$A$1)&amp;""</f>
        <v>AVISO: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93</v>
      </c>
    </row>
    <row r="5" spans="1:7" x14ac:dyDescent="0.35">
      <c r="A5" s="36" t="str" cm="1">
        <f t="array" ref="A5">INDEX(TablaIdiomas[#This Row],1,$A$1)&amp;""</f>
        <v>Es preciso traducir</v>
      </c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</row>
    <row r="6" spans="1:7" x14ac:dyDescent="0.35">
      <c r="A6" s="32" t="str" cm="1">
        <f t="array" ref="A6">INDEX(TablaIdiomas[#This Row],1,$A$1)&amp;""</f>
        <v>Estados y Criticidad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109</v>
      </c>
    </row>
    <row r="7" spans="1:7" x14ac:dyDescent="0.35">
      <c r="A7" s="36" t="str" cm="1">
        <f t="array" ref="A7">INDEX(TablaIdiomas[#This Row],1,$A$1)&amp;""</f>
        <v>Estados</v>
      </c>
      <c r="B7" s="2" t="s">
        <v>110</v>
      </c>
      <c r="C7" s="2" t="s">
        <v>111</v>
      </c>
      <c r="D7" s="2" t="s">
        <v>112</v>
      </c>
      <c r="E7" s="2" t="s">
        <v>113</v>
      </c>
      <c r="F7" s="2" t="s">
        <v>114</v>
      </c>
      <c r="G7" s="2" t="s">
        <v>110</v>
      </c>
    </row>
    <row r="8" spans="1:7" x14ac:dyDescent="0.35">
      <c r="A8" s="32" t="str" cm="1">
        <f t="array" ref="A8">INDEX(TablaIdiomas[#This Row],1,$A$1)&amp;""</f>
        <v>Criticidad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119</v>
      </c>
      <c r="G8" s="2" t="s">
        <v>120</v>
      </c>
    </row>
    <row r="9" spans="1:7" x14ac:dyDescent="0.35">
      <c r="A9" s="36" t="str" cm="1">
        <f t="array" ref="A9">INDEX(TablaIdiomas[#This Row],1,$A$1)&amp;""</f>
        <v>Miembros del equipo</v>
      </c>
      <c r="B9" s="2" t="s">
        <v>121</v>
      </c>
      <c r="C9" s="2" t="s">
        <v>122</v>
      </c>
      <c r="D9" s="2" t="s">
        <v>123</v>
      </c>
      <c r="E9" s="2" t="s">
        <v>124</v>
      </c>
      <c r="F9" s="2" t="s">
        <v>125</v>
      </c>
      <c r="G9" s="2" t="s">
        <v>126</v>
      </c>
    </row>
    <row r="10" spans="1:7" x14ac:dyDescent="0.35">
      <c r="A10" s="32" t="str" cm="1">
        <f t="array" ref="A10">INDEX(TablaIdiomas[#This Row],1,$A$1)&amp;""</f>
        <v>Estado final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127</v>
      </c>
    </row>
    <row r="11" spans="1:7" x14ac:dyDescent="0.35">
      <c r="A11" s="36" t="str" cm="1">
        <f t="array" ref="A11">INDEX(TablaIdiomas[#This Row],1,$A$1)&amp;""</f>
        <v>Nombre archivo en Excel para la Web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136</v>
      </c>
      <c r="G11" s="2" t="s">
        <v>137</v>
      </c>
    </row>
    <row r="12" spans="1:7" x14ac:dyDescent="0.35">
      <c r="A12" s="32" t="str" cm="1">
        <f t="array" ref="A12">INDEX(TablaIdiomas[#This Row],1,$A$1)&amp;""</f>
        <v>Tarea</v>
      </c>
      <c r="B12" s="2" t="s">
        <v>138</v>
      </c>
      <c r="C12" s="2" t="s">
        <v>139</v>
      </c>
      <c r="D12" s="2" t="s">
        <v>140</v>
      </c>
      <c r="E12" s="2" t="s">
        <v>141</v>
      </c>
      <c r="F12" s="2" t="s">
        <v>142</v>
      </c>
      <c r="G12" s="2" t="s">
        <v>143</v>
      </c>
    </row>
    <row r="13" spans="1:7" x14ac:dyDescent="0.35">
      <c r="A13" s="36" t="str" cm="1">
        <f t="array" ref="A13">INDEX(TablaIdiomas[#This Row],1,$A$1)&amp;""</f>
        <v>Descripción</v>
      </c>
      <c r="B13" s="2" t="s">
        <v>144</v>
      </c>
      <c r="C13" s="2" t="s">
        <v>145</v>
      </c>
      <c r="D13" s="2" t="s">
        <v>145</v>
      </c>
      <c r="E13" s="2" t="s">
        <v>146</v>
      </c>
      <c r="F13" s="2" t="s">
        <v>147</v>
      </c>
      <c r="G13" s="2" t="s">
        <v>148</v>
      </c>
    </row>
    <row r="14" spans="1:7" x14ac:dyDescent="0.35">
      <c r="A14" s="32" t="str" cm="1">
        <f t="array" ref="A14">INDEX(TablaIdiomas[#This Row],1,$A$1)&amp;""</f>
        <v>Inicio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150</v>
      </c>
      <c r="G14" s="2" t="s">
        <v>153</v>
      </c>
    </row>
    <row r="15" spans="1:7" x14ac:dyDescent="0.35">
      <c r="A15" s="36" t="str" cm="1">
        <f t="array" ref="A15">INDEX(TablaIdiomas[#This Row],1,$A$1)&amp;""</f>
        <v>Previsto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</row>
    <row r="16" spans="1:7" x14ac:dyDescent="0.35">
      <c r="A16" s="32" t="str" cm="1">
        <f t="array" ref="A16">INDEX(TablaIdiomas[#This Row],1,$A$1)&amp;""</f>
        <v>Final</v>
      </c>
      <c r="B16" s="2" t="s">
        <v>160</v>
      </c>
      <c r="C16" s="2" t="s">
        <v>160</v>
      </c>
      <c r="D16" s="2" t="s">
        <v>161</v>
      </c>
      <c r="E16" s="2" t="s">
        <v>161</v>
      </c>
      <c r="F16" s="2" t="s">
        <v>161</v>
      </c>
      <c r="G16" s="2" t="s">
        <v>160</v>
      </c>
    </row>
    <row r="17" spans="1:7" x14ac:dyDescent="0.35">
      <c r="A17" s="36" t="str" cm="1">
        <f t="array" ref="A17">INDEX(TablaIdiomas[#This Row],1,$A$1)&amp;""</f>
        <v>Duración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</row>
    <row r="18" spans="1:7" x14ac:dyDescent="0.35">
      <c r="A18" s="32" t="str" cm="1">
        <f t="array" ref="A18">INDEX(TablaIdiomas[#This Row],1,$A$1)&amp;""</f>
        <v>Retraso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</row>
    <row r="19" spans="1:7" x14ac:dyDescent="0.35">
      <c r="A19" s="36" t="str" cm="1">
        <f t="array" ref="A19">INDEX(TablaIdiomas[#This Row],1,$A$1)&amp;""</f>
        <v>Asignado</v>
      </c>
      <c r="B19" s="2" t="s">
        <v>174</v>
      </c>
      <c r="C19" s="2" t="s">
        <v>175</v>
      </c>
      <c r="D19" s="2" t="s">
        <v>176</v>
      </c>
      <c r="E19" s="2" t="s">
        <v>177</v>
      </c>
      <c r="F19" s="2" t="s">
        <v>178</v>
      </c>
      <c r="G19" s="2" t="s">
        <v>179</v>
      </c>
    </row>
    <row r="20" spans="1:7" x14ac:dyDescent="0.35">
      <c r="A20" s="32" t="str" cm="1">
        <f t="array" ref="A20">INDEX(TablaIdiomas[#This Row],1,$A$1)&amp;""</f>
        <v>Filtro</v>
      </c>
      <c r="B20" s="2" t="s">
        <v>180</v>
      </c>
      <c r="C20" s="2" t="s">
        <v>181</v>
      </c>
      <c r="D20" s="2" t="s">
        <v>182</v>
      </c>
      <c r="E20" s="2" t="s">
        <v>180</v>
      </c>
      <c r="F20" s="2" t="s">
        <v>181</v>
      </c>
      <c r="G20" s="2" t="s">
        <v>180</v>
      </c>
    </row>
    <row r="21" spans="1:7" x14ac:dyDescent="0.35">
      <c r="A21" s="36" t="str" cm="1">
        <f t="array" ref="A21">INDEX(TablaIdiomas[#This Row],1,$A$1)&amp;""</f>
        <v>Celda</v>
      </c>
      <c r="B21" s="2" t="s">
        <v>183</v>
      </c>
      <c r="C21" s="2" t="s">
        <v>184</v>
      </c>
      <c r="D21" s="2" t="s">
        <v>185</v>
      </c>
      <c r="E21" s="2" t="s">
        <v>186</v>
      </c>
      <c r="F21" s="2" t="s">
        <v>187</v>
      </c>
      <c r="G21" s="2" t="s">
        <v>188</v>
      </c>
    </row>
    <row r="22" spans="1:7" x14ac:dyDescent="0.35">
      <c r="A22" s="32" t="str" cm="1">
        <f t="array" ref="A22">INDEX(TablaIdiomas[#This Row],1,$A$1)&amp;""</f>
        <v>Tarjetas con</v>
      </c>
      <c r="B22" s="2" t="s">
        <v>189</v>
      </c>
      <c r="C22" s="2" t="s">
        <v>190</v>
      </c>
      <c r="D22" s="2" t="s">
        <v>191</v>
      </c>
      <c r="E22" s="2" t="s">
        <v>192</v>
      </c>
      <c r="F22" s="2" t="s">
        <v>193</v>
      </c>
      <c r="G22" s="2" t="s">
        <v>194</v>
      </c>
    </row>
    <row r="23" spans="1:7" x14ac:dyDescent="0.35">
      <c r="A23" s="36" t="str" cm="1">
        <f t="array" ref="A23">INDEX(TablaIdiomas[#This Row],1,$A$1)&amp;""</f>
        <v>líneas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</row>
    <row r="24" spans="1:7" x14ac:dyDescent="0.35">
      <c r="A24" s="32" t="str" cm="1">
        <f t="array" ref="A24">INDEX(TablaIdiomas[#This Row],1,$A$1)&amp;""</f>
        <v>tareas asignadas a</v>
      </c>
      <c r="B24" s="2" t="s">
        <v>201</v>
      </c>
      <c r="C24" s="2" t="s">
        <v>202</v>
      </c>
      <c r="D24" s="2" t="s">
        <v>203</v>
      </c>
      <c r="E24" s="2" t="s">
        <v>204</v>
      </c>
      <c r="F24" s="2" t="s">
        <v>205</v>
      </c>
      <c r="G24" s="2" t="s">
        <v>206</v>
      </c>
    </row>
    <row r="25" spans="1:7" x14ac:dyDescent="0.35">
      <c r="A25" s="36" t="str" cm="1">
        <f t="array" ref="A25">INDEX(TablaIdiomas[#This Row],1,$A$1)&amp;""</f>
        <v>Con criticidad</v>
      </c>
      <c r="B25" s="2" t="s">
        <v>207</v>
      </c>
      <c r="C25" s="2" t="s">
        <v>208</v>
      </c>
      <c r="D25" s="2" t="s">
        <v>209</v>
      </c>
      <c r="E25" s="2" t="s">
        <v>210</v>
      </c>
      <c r="F25" s="2" t="s">
        <v>211</v>
      </c>
      <c r="G25" s="2" t="s">
        <v>212</v>
      </c>
    </row>
    <row r="26" spans="1:7" x14ac:dyDescent="0.35">
      <c r="A26" s="32" t="str" cm="1">
        <f t="array" ref="A26">INDEX(TablaIdiomas[#This Row],1,$A$1)&amp;""</f>
        <v>Con inicio desde</v>
      </c>
      <c r="B26" s="2" t="s">
        <v>213</v>
      </c>
      <c r="C26" s="2" t="s">
        <v>214</v>
      </c>
      <c r="D26" s="2" t="s">
        <v>215</v>
      </c>
      <c r="E26" s="2" t="s">
        <v>216</v>
      </c>
      <c r="F26" s="2" t="s">
        <v>217</v>
      </c>
      <c r="G26" s="2" t="s">
        <v>218</v>
      </c>
    </row>
    <row r="27" spans="1:7" x14ac:dyDescent="0.35">
      <c r="A27" s="36" t="str" cm="1">
        <f t="array" ref="A27">INDEX(TablaIdiomas[#This Row],1,$A$1)&amp;""</f>
        <v>Con el texto</v>
      </c>
      <c r="B27" s="2" t="s">
        <v>219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224</v>
      </c>
    </row>
    <row r="28" spans="1:7" x14ac:dyDescent="0.35">
      <c r="A28" s="32" t="str" cm="1">
        <f t="array" ref="A28">INDEX(TablaIdiomas[#This Row],1,$A$1)&amp;""</f>
        <v>Con un retraso &gt;</v>
      </c>
      <c r="B28" s="2" t="s">
        <v>225</v>
      </c>
      <c r="C28" s="2" t="s">
        <v>226</v>
      </c>
      <c r="D28" s="2" t="s">
        <v>227</v>
      </c>
      <c r="E28" s="2" t="s">
        <v>228</v>
      </c>
      <c r="F28" s="2" t="s">
        <v>229</v>
      </c>
      <c r="G28" s="2" t="s">
        <v>230</v>
      </c>
    </row>
    <row r="29" spans="1:7" x14ac:dyDescent="0.35">
      <c r="A29" s="36" t="str" cm="1">
        <f t="array" ref="A29">INDEX(TablaIdiomas[#This Row],1,$A$1)&amp;""</f>
        <v>días</v>
      </c>
      <c r="B29" s="2" t="s">
        <v>231</v>
      </c>
      <c r="C29" s="2" t="s">
        <v>232</v>
      </c>
      <c r="D29" s="2" t="s">
        <v>233</v>
      </c>
      <c r="E29" s="2" t="s">
        <v>234</v>
      </c>
      <c r="F29" s="2" t="s">
        <v>235</v>
      </c>
      <c r="G29" s="2" t="s">
        <v>236</v>
      </c>
    </row>
    <row r="30" spans="1:7" x14ac:dyDescent="0.35">
      <c r="A30" s="32" t="str" cm="1">
        <f t="array" ref="A30">INDEX(TablaIdiomas[#This Row],1,$A$1)&amp;""</f>
        <v>Orden en tarjetas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242</v>
      </c>
    </row>
    <row r="31" spans="1:7" x14ac:dyDescent="0.35">
      <c r="A31" s="36" t="str" cm="1">
        <f t="array" ref="A31">INDEX(TablaIdiomas[#This Row],1,$A$1)&amp;""</f>
        <v>Cambiar números del 2 al 8</v>
      </c>
      <c r="B31" s="2" t="s">
        <v>243</v>
      </c>
      <c r="C31" s="2" t="s">
        <v>244</v>
      </c>
      <c r="D31" s="2" t="s">
        <v>245</v>
      </c>
      <c r="E31" s="2" t="s">
        <v>246</v>
      </c>
      <c r="F31" s="2" t="s">
        <v>247</v>
      </c>
      <c r="G31" s="2" t="s">
        <v>248</v>
      </c>
    </row>
    <row r="32" spans="1:7" x14ac:dyDescent="0.35">
      <c r="A32" s="32" t="str" cm="1">
        <f t="array" ref="A32">INDEX(TablaIdiomas[#This Row],1,$A$1)&amp;""</f>
        <v>No duplicar los números</v>
      </c>
      <c r="B32" s="2" t="s">
        <v>249</v>
      </c>
      <c r="C32" s="2" t="s">
        <v>250</v>
      </c>
      <c r="D32" s="2" t="s">
        <v>251</v>
      </c>
      <c r="E32" s="2" t="s">
        <v>252</v>
      </c>
      <c r="F32" s="2" t="s">
        <v>253</v>
      </c>
      <c r="G32" s="2" t="s">
        <v>254</v>
      </c>
    </row>
    <row r="33" spans="1:7" x14ac:dyDescent="0.35">
      <c r="A33" s="36" t="str" cm="1">
        <f t="array" ref="A33">INDEX(TablaIdiomas[#This Row],1,$A$1)&amp;""</f>
        <v>Con una duración &gt;</v>
      </c>
      <c r="B33" s="2" t="s">
        <v>255</v>
      </c>
      <c r="C33" s="2" t="s">
        <v>256</v>
      </c>
      <c r="D33" s="2" t="s">
        <v>257</v>
      </c>
      <c r="E33" s="2" t="s">
        <v>258</v>
      </c>
      <c r="F33" s="2" t="s">
        <v>259</v>
      </c>
      <c r="G33" s="2" t="s">
        <v>260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Josselyn Chiriboga</cp:lastModifiedBy>
  <cp:revision>0</cp:revision>
  <dcterms:created xsi:type="dcterms:W3CDTF">2022-12-26T11:27:14Z</dcterms:created>
  <dcterms:modified xsi:type="dcterms:W3CDTF">2026-07-07T14:50:51Z</dcterms:modified>
  <cp:category/>
  <cp:contentStatus/>
</cp:coreProperties>
</file>