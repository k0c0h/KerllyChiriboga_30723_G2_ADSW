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E55D502F-D8DD-4BC6-AE35-EBAE2542C816}" xr6:coauthVersionLast="47" xr6:coauthVersionMax="47" xr10:uidLastSave="{00000000-0000-0000-0000-000000000000}"/>
  <workbookProtection lockStructure="1"/>
  <bookViews>
    <workbookView xWindow="-110" yWindow="-110" windowWidth="19420" windowHeight="110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N14" i="5"/>
  <c r="L86" i="5"/>
  <c r="N59" i="5"/>
  <c r="M91" i="5"/>
  <c r="M70" i="5"/>
  <c r="L59" i="5"/>
  <c r="L85" i="5"/>
  <c r="N92" i="5"/>
  <c r="L79" i="5"/>
  <c r="L13" i="5"/>
  <c r="M26" i="5"/>
  <c r="L28" i="5"/>
  <c r="N8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M89" i="5"/>
  <c r="L101" i="5"/>
  <c r="M59" i="5"/>
  <c r="N81" i="5"/>
  <c r="L17" i="5"/>
  <c r="M51" i="5"/>
  <c r="L91" i="5"/>
  <c r="N57" i="5"/>
  <c r="L14" i="5"/>
  <c r="M69" i="5"/>
  <c r="N85" i="5"/>
  <c r="N32" i="5"/>
  <c r="M61" i="5"/>
  <c r="L99" i="5"/>
  <c r="L6" i="5"/>
  <c r="L96" i="5"/>
  <c r="M30" i="5"/>
  <c r="L76" i="5"/>
  <c r="L50" i="5"/>
  <c r="L55" i="5"/>
  <c r="M50" i="5"/>
  <c r="M66" i="5"/>
  <c r="N31" i="5"/>
  <c r="L34" i="5"/>
  <c r="L45" i="5"/>
  <c r="M32" i="5"/>
  <c r="L40" i="5"/>
  <c r="L4" i="5"/>
  <c r="M23" i="5"/>
  <c r="N58" i="5"/>
  <c r="M80" i="5"/>
  <c r="L56" i="5"/>
  <c r="M46" i="5"/>
  <c r="M77" i="5"/>
  <c r="N18" i="5"/>
  <c r="L51" i="5"/>
  <c r="L82" i="5"/>
  <c r="M17" i="5"/>
  <c r="L71" i="5"/>
  <c r="N26" i="5"/>
  <c r="L64" i="5"/>
  <c r="L19" i="5"/>
  <c r="L41" i="5"/>
  <c r="M99" i="5"/>
  <c r="N17" i="5"/>
  <c r="N21" i="5"/>
  <c r="N80" i="5"/>
  <c r="L7" i="5"/>
  <c r="L46" i="5"/>
  <c r="M86" i="5"/>
  <c r="N43" i="5"/>
  <c r="N9" i="5"/>
  <c r="M40" i="5"/>
  <c r="M78" i="5"/>
  <c r="L22" i="5"/>
  <c r="M82" i="5"/>
  <c r="N78" i="5"/>
  <c r="L100" i="5"/>
  <c r="L20" i="5"/>
  <c r="L60" i="5"/>
  <c r="M94" i="5"/>
  <c r="M36" i="5"/>
  <c r="L93" i="5"/>
  <c r="L65" i="5"/>
  <c r="M68" i="5"/>
  <c r="M53" i="5"/>
  <c r="L94" i="5"/>
  <c r="M24" i="5"/>
  <c r="N76" i="5"/>
  <c r="L97" i="5"/>
  <c r="L8" i="5"/>
  <c r="N3" i="5"/>
  <c r="L44" i="5"/>
  <c r="N91" i="5"/>
  <c r="M65" i="5"/>
  <c r="M63" i="5"/>
  <c r="N84" i="5"/>
  <c r="N7" i="5"/>
  <c r="M22" i="5"/>
  <c r="N68" i="5"/>
  <c r="N70" i="5"/>
  <c r="N87" i="5"/>
  <c r="M10" i="5"/>
  <c r="L10" i="5"/>
  <c r="L32" i="5"/>
  <c r="L15" i="5"/>
  <c r="N61" i="5"/>
  <c r="M15" i="5"/>
  <c r="M81" i="5"/>
  <c r="L77" i="5"/>
  <c r="N52" i="5"/>
  <c r="N67" i="5"/>
  <c r="N60" i="5"/>
  <c r="N63" i="5"/>
  <c r="L92" i="5"/>
  <c r="M38" i="5"/>
  <c r="N73" i="5"/>
  <c r="N24" i="5"/>
  <c r="M48" i="5"/>
  <c r="N83" i="5"/>
  <c r="L16" i="5"/>
  <c r="L81" i="5"/>
  <c r="N12" i="5"/>
  <c r="L66" i="5"/>
  <c r="M44" i="5"/>
  <c r="N5" i="5"/>
  <c r="M85" i="5"/>
  <c r="M12" i="5"/>
  <c r="N90" i="5"/>
  <c r="M76" i="5"/>
  <c r="N88" i="5"/>
  <c r="L39" i="5"/>
  <c r="L63" i="5"/>
  <c r="L3" i="5"/>
  <c r="N51" i="5"/>
  <c r="N47" i="5"/>
  <c r="N37" i="5"/>
  <c r="L42" i="5"/>
  <c r="L62" i="5"/>
  <c r="L52" i="5"/>
  <c r="M74" i="5"/>
  <c r="M16" i="5"/>
  <c r="M2" i="5"/>
  <c r="M25" i="5"/>
  <c r="M72" i="5"/>
  <c r="M54" i="5"/>
  <c r="M41" i="5"/>
  <c r="M45" i="5"/>
  <c r="N54" i="5"/>
  <c r="L69" i="5"/>
  <c r="L87" i="5"/>
  <c r="L61" i="5"/>
  <c r="M79" i="5"/>
  <c r="M19" i="5"/>
  <c r="L84" i="5"/>
  <c r="M31" i="5"/>
  <c r="L74" i="5"/>
  <c r="L57" i="5"/>
  <c r="N6" i="5"/>
  <c r="N64" i="5"/>
  <c r="M95" i="5"/>
  <c r="L78" i="5"/>
  <c r="N79" i="5"/>
  <c r="M18" i="5"/>
  <c r="M87" i="5"/>
  <c r="L88" i="5"/>
  <c r="N55" i="5"/>
  <c r="M49" i="5"/>
  <c r="M98" i="5"/>
  <c r="N38" i="5"/>
  <c r="N94" i="5"/>
  <c r="L27" i="5"/>
  <c r="N75" i="5"/>
  <c r="M21" i="5"/>
  <c r="L11" i="5"/>
  <c r="N97" i="5"/>
  <c r="L21" i="5"/>
  <c r="L33" i="5"/>
  <c r="N4" i="5"/>
  <c r="N82" i="5"/>
  <c r="M90" i="5"/>
  <c r="M8" i="5"/>
  <c r="N13" i="5"/>
  <c r="L80" i="5"/>
  <c r="L30" i="5"/>
  <c r="L48" i="5"/>
  <c r="M20" i="5"/>
  <c r="M92" i="5"/>
  <c r="L38" i="5"/>
  <c r="M83" i="5"/>
  <c r="N44" i="5"/>
  <c r="N71" i="5"/>
  <c r="L5" i="5"/>
  <c r="N15" i="5"/>
  <c r="M88" i="5"/>
  <c r="N45" i="5"/>
  <c r="M71" i="5"/>
  <c r="M96" i="5"/>
  <c r="L73" i="5"/>
  <c r="L67" i="5"/>
  <c r="N25" i="5"/>
  <c r="M6" i="5"/>
  <c r="M97" i="5"/>
  <c r="N20" i="5"/>
  <c r="N46" i="5"/>
  <c r="M101" i="5"/>
  <c r="M3" i="5"/>
  <c r="N19" i="5"/>
  <c r="N93" i="5"/>
  <c r="L9" i="5"/>
  <c r="L2" i="5"/>
  <c r="N69" i="5"/>
  <c r="N29" i="5"/>
  <c r="N100" i="5"/>
  <c r="M5" i="5"/>
  <c r="M64" i="5"/>
  <c r="L89" i="5"/>
  <c r="M7" i="5"/>
  <c r="M35" i="5"/>
  <c r="M67" i="5"/>
  <c r="M11" i="5"/>
  <c r="N22" i="5"/>
  <c r="N11" i="5"/>
  <c r="N56" i="5"/>
  <c r="M27" i="5"/>
  <c r="N53" i="5"/>
  <c r="N33" i="5"/>
  <c r="N65" i="5"/>
  <c r="M13" i="5"/>
  <c r="N28" i="5"/>
  <c r="L83" i="5"/>
  <c r="N8" i="5"/>
  <c r="L54" i="5"/>
  <c r="N86" i="5"/>
  <c r="L58" i="5"/>
  <c r="L47" i="5"/>
  <c r="N66" i="5"/>
  <c r="M29" i="5"/>
  <c r="N35" i="5"/>
  <c r="N48" i="5"/>
  <c r="M47" i="5"/>
  <c r="L70" i="5"/>
  <c r="N23" i="5"/>
  <c r="N95" i="5"/>
  <c r="N39" i="5"/>
  <c r="M39" i="5"/>
  <c r="N30" i="5"/>
  <c r="L25" i="5"/>
  <c r="N62" i="5"/>
  <c r="N99" i="5"/>
  <c r="M28" i="5"/>
  <c r="N72" i="5"/>
  <c r="M84" i="5"/>
  <c r="L98" i="5"/>
  <c r="M57" i="5"/>
  <c r="N50" i="5"/>
  <c r="N98" i="5"/>
  <c r="L29" i="5"/>
  <c r="N77" i="5"/>
  <c r="N74" i="5"/>
  <c r="M34" i="5"/>
  <c r="M60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67" i="5"/>
  <c r="J96" i="5"/>
  <c r="J53" i="5"/>
  <c r="J65" i="5"/>
  <c r="J86" i="5"/>
  <c r="J80" i="5"/>
  <c r="J61" i="5"/>
  <c r="J39" i="5"/>
  <c r="J15" i="5"/>
  <c r="J43" i="5"/>
  <c r="J84" i="5"/>
  <c r="J52" i="5"/>
  <c r="J85" i="5"/>
  <c r="J2" i="5"/>
  <c r="J97" i="5"/>
  <c r="J54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82" i="5"/>
  <c r="J48" i="5"/>
  <c r="J76" i="5"/>
  <c r="J13" i="5"/>
  <c r="J92" i="5"/>
  <c r="J31" i="5"/>
  <c r="J51" i="5"/>
  <c r="J100" i="5"/>
  <c r="J34" i="5"/>
  <c r="J56" i="5"/>
  <c r="J75" i="5"/>
  <c r="J68" i="5"/>
  <c r="J9" i="5"/>
  <c r="J42" i="5"/>
  <c r="J77" i="5"/>
  <c r="J55" i="5"/>
  <c r="J47" i="5"/>
  <c r="J66" i="5"/>
  <c r="J6" i="5"/>
  <c r="J91" i="5"/>
  <c r="J4" i="5"/>
  <c r="J23" i="5"/>
  <c r="J45" i="5"/>
  <c r="J7" i="5"/>
  <c r="J29" i="5"/>
  <c r="J62" i="5"/>
  <c r="J27" i="5"/>
  <c r="J10" i="5"/>
  <c r="J28" i="5"/>
  <c r="J94" i="5"/>
  <c r="J101" i="5"/>
  <c r="J32" i="5"/>
  <c r="J38" i="5"/>
  <c r="J41" i="5"/>
  <c r="J5" i="5"/>
  <c r="J57" i="5"/>
  <c r="J30" i="5"/>
  <c r="J40" i="5"/>
  <c r="J25" i="5"/>
  <c r="J21" i="5"/>
  <c r="J22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J18" i="5"/>
  <c r="J33" i="5"/>
  <c r="J79" i="5"/>
  <c r="J60" i="5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J50" i="5"/>
  <c r="J8" i="5"/>
  <c r="J95" i="5"/>
  <c r="J16" i="5"/>
  <c r="J64" i="5"/>
  <c r="J89" i="5"/>
  <c r="J20" i="5"/>
  <c r="J70" i="5"/>
  <c r="J11" i="5"/>
  <c r="J46" i="5"/>
  <c r="J59" i="5"/>
  <c r="J72" i="5"/>
  <c r="J90" i="5"/>
  <c r="J12" i="5"/>
  <c r="J81" i="5"/>
  <c r="J44" i="5"/>
  <c r="J73" i="5"/>
  <c r="J71" i="5"/>
  <c r="J14" i="5"/>
  <c r="J99" i="5"/>
  <c r="J19" i="5"/>
  <c r="J87" i="5"/>
  <c r="J63" i="5"/>
  <c r="J98" i="5"/>
  <c r="J17" i="5"/>
  <c r="J83" i="5"/>
  <c r="J78" i="5"/>
  <c r="J88" i="5"/>
  <c r="J93" i="5"/>
  <c r="J35" i="5"/>
  <c r="J58" i="5"/>
  <c r="J69" i="5"/>
  <c r="J74" i="5"/>
  <c r="J24" i="5"/>
  <c r="J36" i="5"/>
  <c r="J37" i="5"/>
  <c r="J26" i="5"/>
  <c r="J49" i="5"/>
  <c r="J3" i="5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101" i="5"/>
  <c r="G28" i="5"/>
  <c r="G71" i="5"/>
  <c r="G92" i="5"/>
  <c r="G86" i="5"/>
  <c r="G77" i="5"/>
  <c r="G60" i="5"/>
  <c r="G81" i="5"/>
  <c r="G59" i="5"/>
  <c r="G46" i="5"/>
  <c r="G66" i="5"/>
  <c r="G30" i="5"/>
  <c r="G63" i="5"/>
  <c r="G33" i="5"/>
  <c r="G57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99" i="5"/>
  <c r="G9" i="5"/>
  <c r="G67" i="5"/>
  <c r="G23" i="5"/>
  <c r="G56" i="5"/>
  <c r="G70" i="5"/>
  <c r="G83" i="5"/>
  <c r="G4" i="5"/>
  <c r="G8" i="5"/>
  <c r="G3" i="5"/>
  <c r="G91" i="5"/>
  <c r="G62" i="5"/>
  <c r="G88" i="5"/>
  <c r="G13" i="5"/>
  <c r="G12" i="5"/>
  <c r="G75" i="5"/>
  <c r="G61" i="5"/>
  <c r="G93" i="5"/>
  <c r="G78" i="5"/>
  <c r="G6" i="5"/>
  <c r="G49" i="5"/>
  <c r="G64" i="5"/>
  <c r="G11" i="5"/>
  <c r="G27" i="5"/>
  <c r="G87" i="5"/>
  <c r="G36" i="5"/>
  <c r="G24" i="5"/>
  <c r="G43" i="5"/>
  <c r="G73" i="5"/>
  <c r="G58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G90" i="5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G29" i="5"/>
  <c r="G45" i="5"/>
  <c r="G10" i="5"/>
  <c r="G96" i="5"/>
  <c r="G15" i="5"/>
  <c r="G65" i="5"/>
  <c r="G35" i="5"/>
  <c r="G7" i="5"/>
  <c r="G74" i="5"/>
  <c r="G31" i="5"/>
  <c r="G80" i="5"/>
  <c r="G2" i="5"/>
  <c r="G97" i="5"/>
  <c r="G98" i="5"/>
  <c r="G37" i="5"/>
  <c r="G5" i="5"/>
  <c r="G76" i="5"/>
  <c r="G53" i="5"/>
  <c r="G79" i="5"/>
  <c r="G19" i="5"/>
  <c r="G26" i="5"/>
  <c r="G50" i="5"/>
  <c r="G21" i="5"/>
  <c r="G20" i="5"/>
  <c r="G69" i="5"/>
  <c r="G16" i="5"/>
  <c r="G89" i="5"/>
  <c r="G18" i="5"/>
  <c r="G40" i="5"/>
  <c r="G72" i="5"/>
  <c r="G48" i="5"/>
  <c r="G85" i="5"/>
  <c r="G17" i="5"/>
  <c r="G44" i="5"/>
  <c r="G41" i="5"/>
  <c r="G55" i="5"/>
  <c r="G52" i="5"/>
  <c r="G82" i="5"/>
  <c r="G84" i="5"/>
  <c r="G47" i="5"/>
  <c r="G14" i="5"/>
  <c r="G68" i="5"/>
  <c r="G95" i="5"/>
  <c r="G100" i="5"/>
  <c r="G42" i="5"/>
  <c r="G34" i="5"/>
  <c r="G51" i="5"/>
  <c r="G22" i="5"/>
  <c r="G54" i="5"/>
  <c r="G25" i="5"/>
  <c r="G94" i="5"/>
  <c r="G32" i="5"/>
  <c r="G38" i="5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0" i="5"/>
  <c r="F39" i="5"/>
  <c r="F100" i="5"/>
  <c r="F9" i="5"/>
  <c r="F51" i="5"/>
  <c r="F55" i="5"/>
  <c r="F44" i="5"/>
  <c r="F63" i="5"/>
  <c r="F35" i="5"/>
  <c r="F49" i="5"/>
  <c r="F66" i="5"/>
  <c r="F53" i="5"/>
  <c r="F80" i="5"/>
  <c r="F78" i="5"/>
  <c r="F71" i="5"/>
  <c r="F24" i="5"/>
  <c r="F38" i="5"/>
  <c r="F93" i="5"/>
  <c r="F95" i="5"/>
  <c r="F46" i="5"/>
  <c r="F76" i="5"/>
  <c r="F10" i="5"/>
  <c r="F58" i="5"/>
  <c r="F67" i="5"/>
  <c r="F22" i="5"/>
  <c r="F85" i="5"/>
  <c r="F12" i="5"/>
  <c r="F62" i="5"/>
  <c r="F6" i="5"/>
  <c r="F101" i="5"/>
  <c r="F16" i="5"/>
  <c r="F11" i="5"/>
  <c r="F25" i="5"/>
  <c r="F52" i="5"/>
  <c r="F36" i="5"/>
  <c r="F14" i="5"/>
  <c r="F88" i="5"/>
  <c r="F41" i="5"/>
  <c r="F75" i="5"/>
  <c r="F96" i="5"/>
  <c r="F37" i="5"/>
  <c r="F34" i="5"/>
  <c r="F31" i="5"/>
  <c r="F2" i="5"/>
  <c r="F21" i="5"/>
  <c r="F79" i="5"/>
  <c r="F70" i="5"/>
  <c r="F56" i="5"/>
  <c r="F97" i="5"/>
  <c r="F83" i="5"/>
  <c r="F86" i="5"/>
  <c r="F54" i="5"/>
  <c r="F84" i="5"/>
  <c r="F74" i="5"/>
  <c r="F91" i="5"/>
  <c r="F43" i="5"/>
  <c r="F59" i="5"/>
  <c r="F45" i="5"/>
  <c r="F72" i="5"/>
  <c r="F18" i="5"/>
  <c r="F68" i="5"/>
  <c r="F42" i="5"/>
  <c r="F13" i="5"/>
  <c r="F81" i="5"/>
  <c r="F64" i="5"/>
  <c r="F26" i="5"/>
  <c r="F87" i="5"/>
  <c r="F29" i="5"/>
  <c r="F28" i="5"/>
  <c r="F99" i="5"/>
  <c r="F17" i="5"/>
  <c r="F20" i="5"/>
  <c r="F8" i="5"/>
  <c r="F32" i="5"/>
  <c r="F33" i="5"/>
  <c r="F48" i="5"/>
  <c r="F40" i="5"/>
  <c r="F27" i="5"/>
  <c r="F61" i="5"/>
  <c r="F4" i="5"/>
  <c r="F30" i="5"/>
  <c r="F89" i="5"/>
  <c r="F19" i="5"/>
  <c r="F94" i="5"/>
  <c r="F23" i="5"/>
  <c r="F47" i="5"/>
  <c r="F7" i="5"/>
  <c r="F15" i="5"/>
  <c r="F77" i="5"/>
  <c r="F82" i="5"/>
  <c r="F65" i="5"/>
  <c r="F3" i="5"/>
  <c r="F69" i="5"/>
  <c r="F57" i="5"/>
  <c r="F98" i="5"/>
  <c r="F5" i="5"/>
  <c r="F92" i="5"/>
  <c r="F73" i="5"/>
  <c r="F60" i="5"/>
  <c r="F90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73" i="5"/>
  <c r="H63" i="5"/>
  <c r="H16" i="5"/>
  <c r="H57" i="5"/>
  <c r="H33" i="5"/>
  <c r="H34" i="5"/>
  <c r="H98" i="5"/>
  <c r="H60" i="5"/>
  <c r="H87" i="5"/>
  <c r="H92" i="5"/>
  <c r="H9" i="5"/>
  <c r="H18" i="5"/>
  <c r="H89" i="5"/>
  <c r="H74" i="5"/>
  <c r="H96" i="5"/>
  <c r="H55" i="5"/>
  <c r="H37" i="5"/>
  <c r="H45" i="5"/>
  <c r="H93" i="5"/>
  <c r="H20" i="5"/>
  <c r="H99" i="5"/>
  <c r="H5" i="5"/>
  <c r="H68" i="5"/>
  <c r="H50" i="5"/>
  <c r="H43" i="5"/>
  <c r="H25" i="5"/>
  <c r="H40" i="5"/>
  <c r="H83" i="5"/>
  <c r="H76" i="5"/>
  <c r="H86" i="5"/>
  <c r="H24" i="5"/>
  <c r="H64" i="5"/>
  <c r="H62" i="5"/>
  <c r="H79" i="5"/>
  <c r="H80" i="5"/>
  <c r="H41" i="5"/>
  <c r="H77" i="5"/>
  <c r="H101" i="5"/>
  <c r="H12" i="5"/>
  <c r="H2" i="5"/>
  <c r="H78" i="5"/>
  <c r="H53" i="5"/>
  <c r="H72" i="5"/>
  <c r="H22" i="5"/>
  <c r="H26" i="5"/>
  <c r="H97" i="5"/>
  <c r="H94" i="5"/>
  <c r="H54" i="5"/>
  <c r="H49" i="5"/>
  <c r="H65" i="5"/>
  <c r="H82" i="5"/>
  <c r="H85" i="5"/>
  <c r="H42" i="5"/>
  <c r="H52" i="5"/>
  <c r="H44" i="5"/>
  <c r="H88" i="5"/>
  <c r="H3" i="5"/>
  <c r="H21" i="5"/>
  <c r="H51" i="5"/>
  <c r="H46" i="5"/>
  <c r="H32" i="5"/>
  <c r="H17" i="5"/>
  <c r="H91" i="5"/>
  <c r="H29" i="5"/>
  <c r="H90" i="5"/>
  <c r="H4" i="5"/>
  <c r="H70" i="5"/>
  <c r="H39" i="5"/>
  <c r="H6" i="5"/>
  <c r="H15" i="5"/>
  <c r="H75" i="5"/>
  <c r="H31" i="5"/>
  <c r="H19" i="5"/>
  <c r="H14" i="5"/>
  <c r="H95" i="5"/>
  <c r="H36" i="5"/>
  <c r="H38" i="5"/>
  <c r="H56" i="5"/>
  <c r="H48" i="5"/>
  <c r="H100" i="5"/>
  <c r="H81" i="5"/>
  <c r="H47" i="5"/>
  <c r="H10" i="5"/>
  <c r="H8" i="5"/>
  <c r="H23" i="5"/>
  <c r="H66" i="5"/>
  <c r="H28" i="5"/>
  <c r="H7" i="5"/>
  <c r="H61" i="5"/>
  <c r="H58" i="5"/>
  <c r="H13" i="5"/>
  <c r="H30" i="5"/>
  <c r="H69" i="5"/>
  <c r="H71" i="5"/>
  <c r="H67" i="5"/>
  <c r="H11" i="5"/>
  <c r="H84" i="5"/>
  <c r="H27" i="5"/>
  <c r="H35" i="5"/>
  <c r="H59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82" i="5"/>
  <c r="I16" i="5"/>
  <c r="I63" i="5"/>
  <c r="I94" i="5"/>
  <c r="I21" i="5"/>
  <c r="I34" i="5"/>
  <c r="I85" i="5"/>
  <c r="I60" i="5"/>
  <c r="I78" i="5"/>
  <c r="I7" i="5"/>
  <c r="I28" i="5"/>
  <c r="I51" i="5"/>
  <c r="I55" i="5"/>
  <c r="I6" i="5"/>
  <c r="I89" i="5"/>
  <c r="I24" i="5"/>
  <c r="I70" i="5"/>
  <c r="I4" i="5"/>
  <c r="I33" i="5"/>
  <c r="I96" i="5"/>
  <c r="I72" i="5"/>
  <c r="I65" i="5"/>
  <c r="I25" i="5"/>
  <c r="I95" i="5"/>
  <c r="I53" i="5"/>
  <c r="I59" i="5"/>
  <c r="I5" i="5"/>
  <c r="I92" i="5"/>
  <c r="I22" i="5"/>
  <c r="I36" i="5"/>
  <c r="I12" i="5"/>
  <c r="I58" i="5"/>
  <c r="I64" i="5"/>
  <c r="I17" i="5"/>
  <c r="I80" i="5"/>
  <c r="I57" i="5"/>
  <c r="I90" i="5"/>
  <c r="I98" i="5"/>
  <c r="I45" i="5"/>
  <c r="I2" i="5"/>
  <c r="I23" i="5"/>
  <c r="I79" i="5"/>
  <c r="I44" i="5"/>
  <c r="I88" i="5"/>
  <c r="I69" i="5"/>
  <c r="I74" i="5"/>
  <c r="I14" i="5"/>
  <c r="I67" i="5"/>
  <c r="I13" i="5"/>
  <c r="I42" i="5"/>
  <c r="I35" i="5"/>
  <c r="I29" i="5"/>
  <c r="I9" i="5"/>
  <c r="I30" i="5"/>
  <c r="I41" i="5"/>
  <c r="I46" i="5"/>
  <c r="I100" i="5"/>
  <c r="I52" i="5"/>
  <c r="I20" i="5"/>
  <c r="I91" i="5"/>
  <c r="I15" i="5"/>
  <c r="I18" i="5"/>
  <c r="I76" i="5"/>
  <c r="I19" i="5"/>
  <c r="I83" i="5"/>
  <c r="I84" i="5"/>
  <c r="I73" i="5"/>
  <c r="I49" i="5"/>
  <c r="I77" i="5"/>
  <c r="I71" i="5"/>
  <c r="I47" i="5"/>
  <c r="I8" i="5"/>
  <c r="I10" i="5"/>
  <c r="I101" i="5"/>
  <c r="I93" i="5"/>
  <c r="I81" i="5"/>
  <c r="I11" i="5"/>
  <c r="I66" i="5"/>
  <c r="I56" i="5"/>
  <c r="I38" i="5"/>
  <c r="I26" i="5"/>
  <c r="I40" i="5"/>
  <c r="C135" i="1" l="1" a="1"/>
  <c r="C135" i="1" s="1"/>
  <c r="D135" i="1" a="1"/>
  <c r="D135" i="1" s="1"/>
  <c r="C133" i="4"/>
  <c r="D133" i="4" s="1"/>
  <c r="E133" i="4" s="1" a="1"/>
  <c r="E133" i="4" s="1"/>
  <c r="I37" i="5"/>
  <c r="I87" i="5"/>
  <c r="I99" i="5"/>
  <c r="I97" i="5"/>
  <c r="I75" i="5"/>
  <c r="I86" i="5"/>
  <c r="I48" i="5"/>
  <c r="I31" i="5"/>
  <c r="I27" i="5"/>
  <c r="I3" i="5"/>
  <c r="I32" i="5"/>
  <c r="I68" i="5"/>
  <c r="I61" i="5"/>
  <c r="I39" i="5"/>
  <c r="I54" i="5"/>
  <c r="I43" i="5"/>
  <c r="I62" i="5"/>
  <c r="I50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49" i="5"/>
  <c r="E50" i="5"/>
  <c r="E63" i="5"/>
  <c r="E29" i="5"/>
  <c r="E73" i="5"/>
  <c r="E88" i="5"/>
  <c r="E60" i="5"/>
  <c r="E66" i="5"/>
  <c r="E84" i="5"/>
  <c r="E26" i="5"/>
  <c r="E41" i="5"/>
  <c r="E76" i="5"/>
  <c r="E39" i="5"/>
  <c r="E44" i="5"/>
  <c r="E71" i="5"/>
  <c r="E28" i="5"/>
  <c r="E83" i="5"/>
  <c r="E67" i="5"/>
  <c r="E46" i="5"/>
  <c r="E90" i="5"/>
  <c r="E92" i="5"/>
  <c r="E61" i="5"/>
  <c r="E58" i="5"/>
  <c r="E98" i="5"/>
  <c r="E51" i="5"/>
  <c r="E25" i="5"/>
  <c r="E72" i="5"/>
  <c r="E56" i="5"/>
  <c r="E101" i="5"/>
  <c r="E7" i="5"/>
  <c r="E27" i="5"/>
  <c r="E65" i="5"/>
  <c r="E85" i="5"/>
  <c r="E24" i="5"/>
  <c r="E13" i="5"/>
  <c r="E36" i="5"/>
  <c r="E89" i="5"/>
  <c r="E75" i="5"/>
  <c r="E19" i="5"/>
  <c r="E30" i="5"/>
  <c r="E6" i="5"/>
  <c r="E15" i="5"/>
  <c r="E4" i="5"/>
  <c r="E68" i="5"/>
  <c r="E55" i="5"/>
  <c r="E69" i="5"/>
  <c r="E35" i="5"/>
  <c r="E23" i="5"/>
  <c r="E81" i="5"/>
  <c r="E96" i="5"/>
  <c r="E70" i="5"/>
  <c r="E43" i="5"/>
  <c r="E42" i="5"/>
  <c r="E20" i="5"/>
  <c r="E48" i="5"/>
  <c r="E52" i="5"/>
  <c r="E54" i="5"/>
  <c r="E79" i="5"/>
  <c r="E10" i="5"/>
  <c r="E47" i="5"/>
  <c r="E77" i="5"/>
  <c r="E78" i="5"/>
  <c r="E99" i="5"/>
  <c r="E31" i="5"/>
  <c r="E38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24" i="5"/>
  <c r="P24" i="5" s="1" a="1"/>
  <c r="P24" i="5" s="1"/>
  <c r="K24" i="2" s="1" a="1"/>
  <c r="K24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79" i="5"/>
  <c r="P79" i="5" s="1" a="1"/>
  <c r="P79" i="5" s="1"/>
  <c r="K79" i="2" s="1" a="1"/>
  <c r="K79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  <c r="E5" i="5"/>
  <c r="E82" i="5"/>
  <c r="E93" i="5"/>
  <c r="E11" i="5"/>
  <c r="E3" i="5"/>
  <c r="E45" i="5"/>
  <c r="E33" i="5"/>
  <c r="E91" i="5"/>
  <c r="E32" i="5"/>
  <c r="E18" i="5"/>
  <c r="E2" i="5"/>
  <c r="E34" i="5"/>
  <c r="E94" i="5"/>
  <c r="E22" i="5"/>
  <c r="E16" i="5"/>
  <c r="E14" i="5"/>
  <c r="E87" i="5"/>
  <c r="E57" i="5"/>
  <c r="E40" i="5"/>
  <c r="E100" i="5"/>
  <c r="E21" i="5"/>
  <c r="E8" i="5"/>
  <c r="E95" i="5"/>
  <c r="E9" i="5"/>
  <c r="E74" i="5"/>
  <c r="E17" i="5"/>
  <c r="E86" i="5"/>
  <c r="E64" i="5"/>
  <c r="E59" i="5"/>
  <c r="E97" i="5"/>
  <c r="E53" i="5"/>
  <c r="E12" i="5"/>
  <c r="E62" i="5"/>
  <c r="E37" i="5"/>
  <c r="E80" i="5"/>
  <c r="O82" i="5" l="1"/>
  <c r="P82" i="5" s="1" a="1"/>
  <c r="P82" i="5" s="1"/>
  <c r="K82" i="2" s="1" a="1"/>
  <c r="K82" i="2" s="1"/>
  <c r="O86" i="5"/>
  <c r="P86" i="5" s="1" a="1"/>
  <c r="P86" i="5" s="1"/>
  <c r="K86" i="2" s="1" a="1"/>
  <c r="K86" i="2" s="1"/>
  <c r="O95" i="5"/>
  <c r="P95" i="5" s="1" a="1"/>
  <c r="P95" i="5" s="1"/>
  <c r="K95" i="2" s="1" a="1"/>
  <c r="K95" i="2" s="1"/>
  <c r="O80" i="5"/>
  <c r="P80" i="5" s="1" a="1"/>
  <c r="P80" i="5" s="1"/>
  <c r="K80" i="2" s="1" a="1"/>
  <c r="K80" i="2" s="1"/>
  <c r="O59" i="5"/>
  <c r="P59" i="5" s="1" a="1"/>
  <c r="P59" i="5" s="1"/>
  <c r="K59" i="2" s="1" a="1"/>
  <c r="K59" i="2" s="1"/>
  <c r="O94" i="5"/>
  <c r="P94" i="5" s="1" a="1"/>
  <c r="P94" i="5" s="1"/>
  <c r="K94" i="2" s="1" a="1"/>
  <c r="K94" i="2" s="1"/>
  <c r="O14" i="5"/>
  <c r="P14" i="5" s="1" a="1"/>
  <c r="P14" i="5" s="1"/>
  <c r="K14" i="2" s="1" a="1"/>
  <c r="K14" i="2" s="1"/>
  <c r="O32" i="5"/>
  <c r="P32" i="5" s="1" a="1"/>
  <c r="P32" i="5" s="1"/>
  <c r="K32" i="2" s="1" a="1"/>
  <c r="K32" i="2" s="1"/>
  <c r="O34" i="5"/>
  <c r="P34" i="5" s="1" a="1"/>
  <c r="P34" i="5" s="1"/>
  <c r="K34" i="2" s="1" a="1"/>
  <c r="K34" i="2" s="1"/>
  <c r="O11" i="5"/>
  <c r="P11" i="5" s="1" a="1"/>
  <c r="P11" i="5" s="1"/>
  <c r="K11" i="2" s="1" a="1"/>
  <c r="K11" i="2" s="1"/>
  <c r="O3" i="5"/>
  <c r="P3" i="5" s="1" a="1"/>
  <c r="P3" i="5" s="1"/>
  <c r="K3" i="2" s="1" a="1"/>
  <c r="K3" i="2" s="1"/>
  <c r="O16" i="5"/>
  <c r="P16" i="5" s="1" a="1"/>
  <c r="P16" i="5" s="1"/>
  <c r="K16" i="2" s="1" a="1"/>
  <c r="K16" i="2" s="1"/>
  <c r="O9" i="5"/>
  <c r="P9" i="5" s="1" a="1"/>
  <c r="P9" i="5" s="1"/>
  <c r="K9" i="2" s="1" a="1"/>
  <c r="K9" i="2" s="1"/>
  <c r="O53" i="5"/>
  <c r="P53" i="5" s="1" a="1"/>
  <c r="P53" i="5" s="1"/>
  <c r="K53" i="2" s="1" a="1"/>
  <c r="K53" i="2" s="1"/>
  <c r="O87" i="5"/>
  <c r="P87" i="5" s="1" a="1"/>
  <c r="P87" i="5" s="1"/>
  <c r="K87" i="2" s="1" a="1"/>
  <c r="K87" i="2" s="1"/>
  <c r="O91" i="5"/>
  <c r="P91" i="5" s="1" a="1"/>
  <c r="P91" i="5" s="1"/>
  <c r="K91" i="2" s="1" a="1"/>
  <c r="K91" i="2" s="1"/>
  <c r="O57" i="5"/>
  <c r="P57" i="5" s="1" a="1"/>
  <c r="P57" i="5" s="1"/>
  <c r="K57" i="2" s="1" a="1"/>
  <c r="K57" i="2" s="1"/>
  <c r="O8" i="5"/>
  <c r="P8" i="5" s="1" a="1"/>
  <c r="P8" i="5" s="1"/>
  <c r="K8" i="2" s="1" a="1"/>
  <c r="K8" i="2" s="1"/>
  <c r="O62" i="5"/>
  <c r="P62" i="5" s="1" a="1"/>
  <c r="P62" i="5" s="1"/>
  <c r="K62" i="2" s="1" a="1"/>
  <c r="K62" i="2" s="1"/>
  <c r="O12" i="5"/>
  <c r="P12" i="5" s="1" a="1"/>
  <c r="P12" i="5" s="1"/>
  <c r="K12" i="2" s="1" a="1"/>
  <c r="K12" i="2" s="1"/>
  <c r="O64" i="5"/>
  <c r="P64" i="5" s="1" a="1"/>
  <c r="P64" i="5" s="1"/>
  <c r="K64" i="2" s="1" a="1"/>
  <c r="K64" i="2" s="1"/>
  <c r="O17" i="5"/>
  <c r="P17" i="5" s="1" a="1"/>
  <c r="P17" i="5" s="1"/>
  <c r="K17" i="2" s="1" a="1"/>
  <c r="K17" i="2" s="1"/>
  <c r="O2" i="5"/>
  <c r="P2" i="5" s="1" a="1"/>
  <c r="P2" i="5" s="1"/>
  <c r="K2" i="2" s="1" a="1"/>
  <c r="K2" i="2" s="1"/>
  <c r="O40" i="5"/>
  <c r="P40" i="5" s="1" a="1"/>
  <c r="P40" i="5" s="1"/>
  <c r="K40" i="2" s="1" a="1"/>
  <c r="K40" i="2" s="1"/>
  <c r="O37" i="5"/>
  <c r="P37" i="5" s="1" a="1"/>
  <c r="P37" i="5" s="1"/>
  <c r="K37" i="2" s="1" a="1"/>
  <c r="K37" i="2" s="1"/>
  <c r="O33" i="5"/>
  <c r="P33" i="5" s="1" a="1"/>
  <c r="P33" i="5" s="1"/>
  <c r="K33" i="2" s="1" a="1"/>
  <c r="K33" i="2" s="1"/>
  <c r="O93" i="5"/>
  <c r="P93" i="5" s="1" a="1"/>
  <c r="P93" i="5" s="1"/>
  <c r="K93" i="2" s="1" a="1"/>
  <c r="K93" i="2" s="1"/>
  <c r="O21" i="5"/>
  <c r="P21" i="5" s="1" a="1"/>
  <c r="P21" i="5" s="1"/>
  <c r="K21" i="2" s="1" a="1"/>
  <c r="K21" i="2" s="1"/>
  <c r="O45" i="5"/>
  <c r="P45" i="5" s="1" a="1"/>
  <c r="P45" i="5" s="1"/>
  <c r="K45" i="2" s="1" a="1"/>
  <c r="K45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22" i="5"/>
  <c r="P22" i="5" s="1" a="1"/>
  <c r="P22" i="5" s="1"/>
  <c r="K22" i="2" s="1" a="1"/>
  <c r="K22" i="2" s="1"/>
  <c r="O100" i="5"/>
  <c r="P100" i="5" s="1" a="1"/>
  <c r="P100" i="5" s="1"/>
  <c r="K100" i="2" s="1" a="1"/>
  <c r="K100" i="2" s="1"/>
  <c r="O18" i="5"/>
  <c r="P18" i="5" s="1" a="1"/>
  <c r="P18" i="5" s="1"/>
  <c r="K18" i="2" s="1" a="1"/>
  <c r="K18" i="2" s="1"/>
  <c r="O74" i="5"/>
  <c r="P74" i="5" s="1" a="1"/>
  <c r="P74" i="5" s="1"/>
  <c r="K74" i="2" s="1" a="1"/>
  <c r="K7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<sst xmlns="http://schemas.openxmlformats.org/spreadsheetml/2006/main" count="355" uniqueCount="261">
  <si>
    <t>^</t>
  </si>
  <si>
    <t>KANBAN</t>
  </si>
  <si>
    <t>COMPLETADO</t>
  </si>
  <si>
    <t>IMPORTANTE</t>
  </si>
  <si>
    <t>Sprint 0: REQ001-1</t>
  </si>
  <si>
    <t>Construcción de interfaz FormularioLogin.</t>
  </si>
  <si>
    <t>Kerlly Chiriboga</t>
  </si>
  <si>
    <t>Sprint 0: REQ001-2</t>
  </si>
  <si>
    <t>Implementación de métodos y control de registro.</t>
  </si>
  <si>
    <t>Carlos Caiza</t>
  </si>
  <si>
    <t>Sprint 0: REQ001-3</t>
  </si>
  <si>
    <t>Control de seguridad: Bloqueo de cuenta tras 3 intentos fallidos por 5 minutos.</t>
  </si>
  <si>
    <t>Alexander Villacres</t>
  </si>
  <si>
    <t>Sprint 0: REQ002-1</t>
  </si>
  <si>
    <t>Diseño de InterfazPedidoMesa.</t>
  </si>
  <si>
    <t>Implementar métodos tomarPedidoEnMesa() en el ControlRegistroPedido.</t>
  </si>
  <si>
    <t>Sprint 0: REQ002-3</t>
  </si>
  <si>
    <t>Lógica de validación: validarDatosDelPedido() (mínimo 1 producto del Menu).</t>
  </si>
  <si>
    <t>Sprint 1: REQ003-1</t>
  </si>
  <si>
    <t>Interfaz InterfazPedidoTel con campos para teléfono y dirección.</t>
  </si>
  <si>
    <t>Sprint 1: REQ003-2</t>
  </si>
  <si>
    <t>Método validarClienteExistente(tel) para recuperar datos de la entidad Cliente</t>
  </si>
  <si>
    <t>Sprint 1: REQ003-3</t>
  </si>
  <si>
    <t>Integración final del RepositorioPedidos para persistencia de datos</t>
  </si>
  <si>
    <t>Sprint 1: REQ004-1</t>
  </si>
  <si>
    <t>Construcción de la interfaz de pedido móvil con QR</t>
  </si>
  <si>
    <t>Sprint 1: REQ004-2</t>
  </si>
  <si>
    <t>Implementación de la lógica leerCodigoQR(mesaID) para identificar la ubicación del cliente.</t>
  </si>
  <si>
    <t>Sprint 1: REQ004-3</t>
  </si>
  <si>
    <t xml:space="preserve">Desarrollo de la funcionalidad presentarMenuDigital() consultando los ítems de la entidad Menu. </t>
  </si>
  <si>
    <t>Sprint 1: REQ004-4</t>
  </si>
  <si>
    <t>Programación del método realizarPedidoPorQR() en el objeto ControlRegistroPedido.</t>
  </si>
  <si>
    <t>Sprint 1: REQ004-5</t>
  </si>
  <si>
    <t xml:space="preserve"> Implementación del flujo de confirmación: validar(datos) en PedidoValidator y generación de ticket digital.</t>
  </si>
  <si>
    <t>Sprint 2: REQ005-1</t>
  </si>
  <si>
    <t>Implementar la interfaz para el Cocinero que permita visualizar la lista de pedidos pendientes recuperados del RepositorioPedidos</t>
  </si>
  <si>
    <t>Sprint 2: REQ005-2</t>
  </si>
  <si>
    <t>Implementación de métodos en PedidoController, permitiendo la transición entre estados (pendiente, en preparación, listo)</t>
  </si>
  <si>
    <t>Sprint 3: REQ006-1</t>
  </si>
  <si>
    <t>Implementar la interfaz del Cajero para buscar pedidos por número de mesa</t>
  </si>
  <si>
    <t>Sprint 3: REQ006-2</t>
  </si>
  <si>
    <t>Desarrollar las funcionalidades para registrar el pago permitiendo seleccionar el método de pago y marcar el pedido como "pagado" para habilitar su entrega</t>
  </si>
  <si>
    <t>Sprint 2: REQ007-1</t>
  </si>
  <si>
    <t>Desarrollo de la interfaz de consulta para el Cliente vinculada al QR de cada mesa</t>
  </si>
  <si>
    <t>Sprint 2: REQ007-2</t>
  </si>
  <si>
    <t>Implementación de la lógica para consultar estado en el controlador para mostrar al usuario el progreso de su orden en tiempo real</t>
  </si>
  <si>
    <t>Sprint 3: REQ008-1</t>
  </si>
  <si>
    <t>Construcción del panel administrativo para gestionar menu, precios, disponibilidad</t>
  </si>
  <si>
    <t>Sprint 3: REQ008-2</t>
  </si>
  <si>
    <t>Implementación de la gestión de códigos QR por mesa y la generación de reportes básicos de ventas para el control del negocio</t>
  </si>
  <si>
    <t>ARCHIVADO</t>
  </si>
  <si>
    <t>NORMAL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</si>
  <si>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</si>
  <si>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</si>
  <si>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</si>
  <si>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</si>
  <si>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</si>
  <si>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</si>
  <si>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</si>
  <si>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</si>
  <si>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</si>
  <si>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</si>
  <si>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EN ESPERA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</si>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</sst>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27" activePane="bottomLeft" state="frozen"/>
      <selection pane="bottomLeft" activeCell="A19" sqref="A19:XFD19"/>
    </sheetView>
  </sheetViews>
  <sheetFormatPr defaultColWidth="0" defaultRowHeight="14.4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" thickBot="1"/>
    <row r="2" spans="2:51" ht="15" thickBot="1">
      <c r="B2" s="109" t="str">
        <f ca="1">Configura!$B$2</f>
        <v xml:space="preserve">                Tablero KANBAN v3 ©️            </v>
      </c>
      <c r="C2" s="109"/>
      <c r="D2" s="109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23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46182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" thickBot="1"/>
    <row r="4" spans="2:51" ht="21.6" thickBot="1">
      <c r="B4" s="26">
        <v>1</v>
      </c>
      <c r="C4" s="112" t="str" cm="1">
        <f t="array" aca="1" ref="C4" ca="1">IFERROR(INDEX(Configura!$B$9:$B$18,B4)&amp;" ("&amp;SUMIF(misEstados,B4,misFiltros)&amp;" de "&amp;SUM(misFiltros)&amp;")","")</f>
        <v>POR HACER (0 de 23)</v>
      </c>
      <c r="D4" s="112"/>
      <c r="E4" s="112"/>
      <c r="F4" s="9" t="s">
        <v>0</v>
      </c>
      <c r="G4" s="25">
        <f>B4+1</f>
        <v>2</v>
      </c>
      <c r="H4" s="112" t="str" cm="1">
        <f t="array" aca="1" ref="H4" ca="1">IFERROR(INDEX(Configura!$B$9:$B$18,G4)&amp;" ("&amp;SUMIF(misEstados,G4,misFiltros)&amp;" de "&amp;SUM(misFiltros)&amp;")","")</f>
        <v>EN PROGRESO (0 de 23)</v>
      </c>
      <c r="I4" s="112"/>
      <c r="J4" s="112"/>
      <c r="K4" s="9" t="s">
        <v>0</v>
      </c>
      <c r="L4" s="25">
        <f>G4+1</f>
        <v>3</v>
      </c>
      <c r="M4" s="112" t="str" cm="1">
        <f t="array" aca="1" ref="M4" ca="1">IFERROR(INDEX(Configura!$B$9:$B$18,L4)&amp;" ("&amp;SUMIF(misEstados,L4,misFiltros)&amp;" de "&amp;SUM(misFiltros)&amp;")","")</f>
        <v>EN ESPERA (0 de 23)</v>
      </c>
      <c r="N4" s="112"/>
      <c r="O4" s="112"/>
      <c r="P4" s="9" t="s">
        <v>0</v>
      </c>
      <c r="Q4" s="25">
        <f>L4+1</f>
        <v>4</v>
      </c>
      <c r="R4" s="112" t="str" cm="1">
        <f t="array" aca="1" ref="R4" ca="1">IFERROR(INDEX(Configura!$B$9:$B$18,Q4)&amp;" ("&amp;SUMIF(misEstados,Q4,misFiltros)&amp;" de "&amp;SUM(misFiltros)&amp;")","")</f>
        <v>COMPLETADO (22 de 23)</v>
      </c>
      <c r="S4" s="112"/>
      <c r="T4" s="112"/>
      <c r="U4" s="9" t="s">
        <v>0</v>
      </c>
      <c r="V4" s="25">
        <f>Q4+1</f>
        <v>5</v>
      </c>
      <c r="W4" s="112" t="str" cm="1">
        <f t="array" aca="1" ref="W4" ca="1">IFERROR(INDEX(Configura!$B$9:$B$18,V4)&amp;" ("&amp;SUMIF(misEstados,V4,misFiltros)&amp;" de "&amp;SUM(misFiltros)&amp;")","")</f>
        <v>ARCHIVADO (1 de 23)</v>
      </c>
      <c r="X4" s="112"/>
      <c r="Y4" s="112"/>
      <c r="Z4" s="10" t="s">
        <v>0</v>
      </c>
      <c r="AA4" s="25">
        <f>V4+1</f>
        <v>6</v>
      </c>
      <c r="AB4" s="112" t="str" cm="1">
        <f t="array" aca="1" ref="AB4" ca="1">IFERROR(INDEX(Configura!$B$9:$B$18,AA4)&amp;" ("&amp;SUMIF(misEstados,AA4,misFiltros)&amp;" de "&amp;SUM(misFiltros)&amp;")","")</f>
        <v>POR HACER (0 de 23)</v>
      </c>
      <c r="AC4" s="112"/>
      <c r="AD4" s="112"/>
      <c r="AE4" s="10" t="s">
        <v>0</v>
      </c>
      <c r="AF4" s="25">
        <f>AA4+1</f>
        <v>7</v>
      </c>
      <c r="AG4" s="112" t="str" cm="1">
        <f t="array" aca="1" ref="AG4" ca="1">IFERROR(INDEX(Configura!$B$9:$B$18,AF4)&amp;" ("&amp;SUMIF(misEstados,AF4,misFiltros)&amp;" de "&amp;SUM(misFiltros)&amp;")","")</f>
        <v>EN PROGRESO (0 de 23)</v>
      </c>
      <c r="AH4" s="112"/>
      <c r="AI4" s="112"/>
      <c r="AJ4" s="10" t="s">
        <v>0</v>
      </c>
      <c r="AK4" s="25">
        <f>AF4+1</f>
        <v>8</v>
      </c>
      <c r="AL4" s="112" t="str" cm="1">
        <f t="array" aca="1" ref="AL4" ca="1">IFERROR(INDEX(Configura!$B$9:$B$18,AK4)&amp;" ("&amp;SUMIF(misEstados,AK4,misFiltros)&amp;" de "&amp;SUM(misFiltros)&amp;")","")</f>
        <v xml:space="preserve"> (0 de 23)</v>
      </c>
      <c r="AM4" s="112"/>
      <c r="AN4" s="112"/>
      <c r="AO4" s="10" t="s">
        <v>0</v>
      </c>
      <c r="AP4" s="25">
        <f>AK4+1</f>
        <v>9</v>
      </c>
      <c r="AQ4" s="112" t="str" cm="1">
        <f t="array" aca="1" ref="AQ4" ca="1">IFERROR(INDEX(Configura!$B$9:$B$18,AP4)&amp;" ("&amp;SUMIF(misEstados,AP4,misFiltros)&amp;" de "&amp;SUM(misFiltros)&amp;")","")</f>
        <v xml:space="preserve"> (0 de 23)</v>
      </c>
      <c r="AR4" s="112"/>
      <c r="AS4" s="112"/>
      <c r="AT4" s="10" t="s">
        <v>0</v>
      </c>
      <c r="AU4" s="25">
        <f>AP4+1</f>
        <v>10</v>
      </c>
      <c r="AV4" s="112" t="str" cm="1">
        <f t="array" aca="1" ref="AV4" ca="1">IFERROR(INDEX(Configura!$B$9:$B$18,AU4)&amp;" ("&amp;SUMIF(misEstados,AU4,misFiltros)&amp;" de "&amp;SUM(misFiltros)&amp;")","")</f>
        <v xml:space="preserve"> (0 de 23)</v>
      </c>
      <c r="AW4" s="112"/>
      <c r="AX4" s="112"/>
      <c r="AY4" s="10" t="s">
        <v>0</v>
      </c>
    </row>
    <row r="5" spans="2:51" ht="1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0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0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0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0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0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0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22:</v>
      </c>
      <c r="S6" s="110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Sprint 3: REQ008-2</v>
      </c>
      <c r="T6" s="110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10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0</v>
      </c>
      <c r="Y6" s="110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0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0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0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0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0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0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0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0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0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0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0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0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0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0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0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0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0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Implementación de la gestión de códigos QR por mesa y la generación de reportes básicos de ventas para el control del negocio</v>
      </c>
      <c r="T7" s="110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10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>0</v>
      </c>
      <c r="Y7" s="110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0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0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0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0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0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0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0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0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0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0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0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0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0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0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0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0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0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46209</v>
      </c>
      <c r="T8" s="110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10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0</v>
      </c>
      <c r="Y8" s="110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0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0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0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0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0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0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0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0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0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0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0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0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0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0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0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0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0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46216</v>
      </c>
      <c r="T9" s="110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10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0</v>
      </c>
      <c r="Y9" s="110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0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0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0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0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0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0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0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0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0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0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0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0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0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0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0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0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0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46216</v>
      </c>
      <c r="T10" s="110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10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0</v>
      </c>
      <c r="Y10" s="110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0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0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0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0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0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0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0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0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0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0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0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0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0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0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0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0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0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8 días</v>
      </c>
      <c r="T11" s="110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10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0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0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0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0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0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0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0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0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0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0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0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0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0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0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0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0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0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0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0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10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0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0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0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0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0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0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0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0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0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0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0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0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0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0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0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0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0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0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Carlos Caiza</v>
      </c>
      <c r="T13" s="110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10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0</v>
      </c>
      <c r="Y13" s="110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0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0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0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0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0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0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0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0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0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0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0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0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0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0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0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0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0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0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0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0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0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0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0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0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0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0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0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0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0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0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0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0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0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0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0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0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21:</v>
      </c>
      <c r="S15" s="110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Sprint 3: REQ008-1</v>
      </c>
      <c r="T15" s="110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0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0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0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0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0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0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0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0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0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0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0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0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0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0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0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0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0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0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0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Construcción del panel administrativo para gestionar menu, precios, disponibilidad</v>
      </c>
      <c r="T16" s="110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0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0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0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0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0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0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0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0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0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0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0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0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0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0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0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0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0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0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0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46209</v>
      </c>
      <c r="T17" s="110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0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0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0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0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0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0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0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0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0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0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0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0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0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0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0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0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0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0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0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46216</v>
      </c>
      <c r="T18" s="110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0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0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0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0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0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0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0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0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0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0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0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0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0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0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0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0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0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0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0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46216</v>
      </c>
      <c r="T19" s="110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0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0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0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0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0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0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0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0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0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0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0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0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0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0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0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0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0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0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0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8 días</v>
      </c>
      <c r="T20" s="110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0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0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0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0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0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0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0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0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0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0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0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0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0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0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0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0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0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0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0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0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0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0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0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0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0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0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0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0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0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0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0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0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0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0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0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0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0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0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0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Kerlly Chiriboga</v>
      </c>
      <c r="T22" s="110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0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0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0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0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0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0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0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0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0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0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0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0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0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0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0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0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0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0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0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0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0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0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0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0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0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0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0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0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0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0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0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0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0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0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0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0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0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0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20:</v>
      </c>
      <c r="S24" s="110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Sprint 2: REQ007-2</v>
      </c>
      <c r="T24" s="110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0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0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0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0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0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0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0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0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0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0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0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0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0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0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0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0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0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0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0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Implementación de la lógica para consultar estado en el controlador para mostrar al usuario el progreso de su orden en tiempo real</v>
      </c>
      <c r="T25" s="110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0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0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0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0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0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0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0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0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0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0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0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0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0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0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0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0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0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0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0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46200</v>
      </c>
      <c r="T26" s="110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0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0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0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0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0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0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0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0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0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0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0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0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0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0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0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0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0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0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0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46207</v>
      </c>
      <c r="T27" s="110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0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0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0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0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0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0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0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0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0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0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0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0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0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0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0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0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0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0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0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46207</v>
      </c>
      <c r="T28" s="110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0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0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0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0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0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0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0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0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0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0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0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0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0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0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0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0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0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0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0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8 días</v>
      </c>
      <c r="T29" s="110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0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0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0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0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0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0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0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0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0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0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0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0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0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0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0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0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0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0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0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0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0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0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0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0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0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0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0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0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0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0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0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0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0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0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0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0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0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0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0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Alexander Villacres</v>
      </c>
      <c r="T31" s="110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0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0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0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0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0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0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0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0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0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0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0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0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0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0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0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0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0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0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0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0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0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0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0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0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0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0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0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0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0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0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0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0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0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0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0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0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0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0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19:</v>
      </c>
      <c r="S33" s="110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Sprint 2: REQ007-1</v>
      </c>
      <c r="T33" s="110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0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0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0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0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0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0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0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0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0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0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0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0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0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0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0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0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0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0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0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Desarrollo de la interfaz de consulta para el Cliente vinculada al QR de cada mesa</v>
      </c>
      <c r="T34" s="110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0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0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0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0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0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0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0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0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0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0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0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0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0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0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0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0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0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0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0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46200</v>
      </c>
      <c r="T35" s="110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0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0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0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0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0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0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0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0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0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0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0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0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0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0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0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0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0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0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0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46207</v>
      </c>
      <c r="T36" s="110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0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0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0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0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0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0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0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0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0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0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0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0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0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0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0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0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0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0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0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46207</v>
      </c>
      <c r="T37" s="110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0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0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0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0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0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0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0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0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0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0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0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0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0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0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0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0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0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0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0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8 días</v>
      </c>
      <c r="T38" s="110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0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0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0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0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0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0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0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0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0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0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0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0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0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0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0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0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0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0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0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0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0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0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0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0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0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0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0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0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0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0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0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0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0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0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0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0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0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0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0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Carlos Caiza</v>
      </c>
      <c r="T40" s="110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0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0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0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0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0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0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0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0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0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0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0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0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0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0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0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0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0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0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0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0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0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0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0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0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0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0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0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0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0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0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0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0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0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0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0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0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0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0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18:</v>
      </c>
      <c r="S42" s="110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Sprint 3: REQ006-2</v>
      </c>
      <c r="T42" s="110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0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0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0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0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0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0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0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0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0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0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0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0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0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0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0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0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0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0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0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Desarrollar las funcionalidades para registrar el pago permitiendo seleccionar el método de pago y marcar el pedido como "pagado" para habilitar su entrega</v>
      </c>
      <c r="T43" s="110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0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0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0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0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0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0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0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0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0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0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0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0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0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0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0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0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0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0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0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46209</v>
      </c>
      <c r="T44" s="110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0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0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0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0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0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0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0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0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0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0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0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0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0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0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0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0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0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0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0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46216</v>
      </c>
      <c r="T45" s="110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0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0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0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0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0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0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0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0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0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0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0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0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0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0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0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0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0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0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0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46216</v>
      </c>
      <c r="T46" s="110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0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0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0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0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0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0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0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0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0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0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0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0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0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0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0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0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0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0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0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8 días</v>
      </c>
      <c r="T47" s="110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0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0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0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0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0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0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0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0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0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0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0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0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0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0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0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0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0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0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0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0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0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0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0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0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0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0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0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0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0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0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0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0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0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0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0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0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0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0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0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Kerlly Chiriboga</v>
      </c>
      <c r="T49" s="110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0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0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0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0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0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0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0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0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0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0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0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0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0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0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0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0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0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0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0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0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0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0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0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0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0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0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0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0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0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0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0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0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0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0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0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0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0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0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17:</v>
      </c>
      <c r="S51" s="110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Sprint 3: REQ006-1</v>
      </c>
      <c r="T51" s="110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0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0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0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0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0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0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0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0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0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0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0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0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0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0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0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0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0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0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0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Implementar la interfaz del Cajero para buscar pedidos por número de mesa</v>
      </c>
      <c r="T52" s="110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0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0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0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0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0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0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0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0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0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0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0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0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0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0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0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0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0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0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0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46209</v>
      </c>
      <c r="T53" s="110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0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0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0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0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0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0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0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0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0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0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0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0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0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0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0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0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0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0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0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46216</v>
      </c>
      <c r="T54" s="110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0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0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0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0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0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0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0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0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0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0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0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0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0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0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0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0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0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0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0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46216</v>
      </c>
      <c r="T55" s="110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0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0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0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0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0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0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0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0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0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0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0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0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0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0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0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0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0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0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0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0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0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0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0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0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0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0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0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0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0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0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0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0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0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0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0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0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0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0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0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0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0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0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0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0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0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0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0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0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0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0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0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0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0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0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0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0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0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0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0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Alexander Villacres</v>
      </c>
      <c r="T58" s="110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0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0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0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0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0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0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0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0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0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0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0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0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0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0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0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0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0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0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0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0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0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0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0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0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0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0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0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0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0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0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0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0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0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0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0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0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0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0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16:</v>
      </c>
      <c r="S60" s="110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Sprint 2: REQ005-2</v>
      </c>
      <c r="T60" s="110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0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0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0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0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0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0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0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0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0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0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0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0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0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0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0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0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0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0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0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Implementación de métodos en PedidoController, permitiendo la transición entre estados (pendiente, en preparación, listo)</v>
      </c>
      <c r="T61" s="110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0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0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0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0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0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0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0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0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0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0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0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0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0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0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0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0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0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0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0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46200</v>
      </c>
      <c r="T62" s="110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0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0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0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0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0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0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0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0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0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0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0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0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0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0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0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0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0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0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0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46207</v>
      </c>
      <c r="T63" s="110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0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0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0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0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0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0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0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0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0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0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0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0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0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0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0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0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0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0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0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46207</v>
      </c>
      <c r="T64" s="110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0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0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0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0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0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0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0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0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0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0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0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0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0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0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0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0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0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0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0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0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0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0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0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0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0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0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0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0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0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0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0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0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0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0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0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0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0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0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0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0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0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0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0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0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0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0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0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0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0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0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0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0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0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0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0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0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0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0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0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Carlos Caiza</v>
      </c>
      <c r="T67" s="110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0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0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0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0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0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0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0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0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0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0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0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0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0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0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0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0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0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0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0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0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0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0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0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0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0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0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0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0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0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0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0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0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0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0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0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0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0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0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15:</v>
      </c>
      <c r="S69" s="110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Sprint 2: REQ005-1</v>
      </c>
      <c r="T69" s="110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0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0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0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0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0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0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0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0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0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0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0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0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0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0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0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0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0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0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0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Implementar la interfaz para el Cocinero que permita visualizar la lista de pedidos pendientes recuperados del RepositorioPedidos</v>
      </c>
      <c r="T70" s="110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0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0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0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0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0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0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0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0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0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0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0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0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0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0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0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0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0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0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0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46200</v>
      </c>
      <c r="T71" s="110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0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0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0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0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0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0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0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0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0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0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0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0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0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0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0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0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0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0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0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46207</v>
      </c>
      <c r="T72" s="110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0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0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0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0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0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0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0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0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0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0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0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0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0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0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0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0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0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0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0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46207</v>
      </c>
      <c r="T73" s="110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0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0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0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0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0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0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0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0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0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0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0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0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0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0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0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0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0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0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0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0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0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0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0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0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0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0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0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0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0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0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0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0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0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0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0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0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0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0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0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0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0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0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0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0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0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0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0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0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0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0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0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0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0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0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0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0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0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0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0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Kerlly Chiriboga</v>
      </c>
      <c r="T76" s="110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0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0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0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0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0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0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0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0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0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0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0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0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0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0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0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0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0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0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0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0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0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0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0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0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0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0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0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0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0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0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0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0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0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0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0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0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0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0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14:</v>
      </c>
      <c r="S78" s="110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Sprint 1: REQ004-5</v>
      </c>
      <c r="T78" s="110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0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0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0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0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0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0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0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0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0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0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0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0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0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0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0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0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0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0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0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 Implementación del flujo de confirmación: validar(datos) en PedidoValidator y generación de ticket digital.</v>
      </c>
      <c r="T79" s="110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0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0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0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0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0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0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0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0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0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0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0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0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0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0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0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0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0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0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0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46195</v>
      </c>
      <c r="T80" s="110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0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0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0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0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0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0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0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0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0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0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0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0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0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0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0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0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0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0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0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46198</v>
      </c>
      <c r="T81" s="110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0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0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0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0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0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0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0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0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0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0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0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0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0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0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0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0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0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0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0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46198</v>
      </c>
      <c r="T82" s="110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0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0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0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0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0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0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0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0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0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0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0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0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0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0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0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0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0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0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0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4 días</v>
      </c>
      <c r="T83" s="110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0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0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0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0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0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0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0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0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0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0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0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0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0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0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0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0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0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0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0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0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0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0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0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0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0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0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0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0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0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0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0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0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0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0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0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0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0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0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0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Carlos Caiza</v>
      </c>
      <c r="T85" s="110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0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0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0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0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0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0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0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0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0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0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0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0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0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0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0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0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0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0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0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0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0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0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0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0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0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0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0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0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0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0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0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0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0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0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0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0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0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0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13:</v>
      </c>
      <c r="S87" s="110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Sprint 1: REQ004-4</v>
      </c>
      <c r="T87" s="110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0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0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0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0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0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0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0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0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0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0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0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0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0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0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0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0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0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0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0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Programación del método realizarPedidoPorQR() en el objeto ControlRegistroPedido.</v>
      </c>
      <c r="T88" s="110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0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0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0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0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0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0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0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0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0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0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0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0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0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0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0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0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0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0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0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46195</v>
      </c>
      <c r="T89" s="110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0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0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0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0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0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0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0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0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0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0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0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0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0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0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0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0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0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0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0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46198</v>
      </c>
      <c r="T90" s="110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0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0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0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0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0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0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0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0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0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0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0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0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0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0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0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0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0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0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0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46198</v>
      </c>
      <c r="T91" s="110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0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0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0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0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0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0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0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0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0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0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0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0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0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0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0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0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0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0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0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110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0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0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0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0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0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0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0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0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0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0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0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0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0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0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0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0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0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0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0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0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0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0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0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0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0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0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0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0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0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0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0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0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0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0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0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0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0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0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0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Kerlly Chiriboga</v>
      </c>
      <c r="T94" s="110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0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0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0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0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0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0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0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0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0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0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0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0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0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0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0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0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0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0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0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0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0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0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0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0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0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0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0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0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0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0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0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0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0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0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0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0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0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0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12:</v>
      </c>
      <c r="S96" s="110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Sprint 1: REQ004-3</v>
      </c>
      <c r="T96" s="110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0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0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0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0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0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0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0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0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0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0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0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0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0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0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0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0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0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0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0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 xml:space="preserve">Desarrollo de la funcionalidad presentarMenuDigital() consultando los ítems de la entidad Menu. </v>
      </c>
      <c r="T97" s="110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0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0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0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0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0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0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0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0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0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0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0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0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0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0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0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0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0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0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0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46195</v>
      </c>
      <c r="T98" s="110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0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0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0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0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0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0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0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0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0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0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0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0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0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0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0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0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0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0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0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46198</v>
      </c>
      <c r="T99" s="110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0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0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0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0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0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0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0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0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0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0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0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0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0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0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0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0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0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0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0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46198</v>
      </c>
      <c r="T100" s="110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0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0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0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0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0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0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0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0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0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0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0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0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0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0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0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0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0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0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0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10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0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0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0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0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0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0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0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0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0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0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0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0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0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0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0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0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0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0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0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0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0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0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0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0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0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0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0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0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0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0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0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0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0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0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0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0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0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0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0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Alexander Villacres</v>
      </c>
      <c r="T103" s="110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0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0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0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0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0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0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0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0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0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0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0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0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0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0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0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0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0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0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0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0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0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0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0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0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0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0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0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0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0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0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0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0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0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0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0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0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0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0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11:</v>
      </c>
      <c r="S105" s="110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Sprint 1: REQ004-2</v>
      </c>
      <c r="T105" s="110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0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0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0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0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0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0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0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0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0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0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0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0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0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0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0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0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0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0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0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Implementación de la lógica leerCodigoQR(mesaID) para identificar la ubicación del cliente.</v>
      </c>
      <c r="T106" s="110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0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0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0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0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0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0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0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0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0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0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0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0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0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0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0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0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0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0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0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46195</v>
      </c>
      <c r="T107" s="110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0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0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0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0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0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0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0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0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0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0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0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0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0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0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0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0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0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0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0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46198</v>
      </c>
      <c r="T108" s="110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0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0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0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0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0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0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0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0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0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0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0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0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0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0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0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0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0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0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0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46198</v>
      </c>
      <c r="T109" s="110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0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0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0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0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0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0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0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0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0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0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0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0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0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0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0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0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0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0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0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10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0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0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0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0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0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0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0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0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0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0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0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0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0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0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0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0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0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0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0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0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0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0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0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0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0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0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0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0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0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0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0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0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0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0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0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0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0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0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0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Carlos Caiza</v>
      </c>
      <c r="T112" s="110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0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0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0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0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0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0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0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0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0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0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0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0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0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0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0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0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0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0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0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0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0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0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0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0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0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0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0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0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0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0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0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0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0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0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0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0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0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0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10:</v>
      </c>
      <c r="S114" s="110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Sprint 1: REQ004-1</v>
      </c>
      <c r="T114" s="110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0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0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0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0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0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0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0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0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0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0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0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0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0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0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0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0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0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0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0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Construcción de la interfaz de pedido móvil con QR</v>
      </c>
      <c r="T115" s="110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0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0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0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0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0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0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0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0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0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0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0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0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0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0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0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0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0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0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0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46195</v>
      </c>
      <c r="T116" s="110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0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0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0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0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0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0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0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0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0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0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0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0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0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0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0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0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0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0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0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46198</v>
      </c>
      <c r="T117" s="110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0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0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0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0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0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0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0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0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0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0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0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0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0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0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0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0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0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0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0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46198</v>
      </c>
      <c r="T118" s="110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0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0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0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0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0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0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0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0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0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0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0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0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0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0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0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0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0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0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0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10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0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0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0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0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0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0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0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0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0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0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0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0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0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0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0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0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0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0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0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0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0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0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0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0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0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0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0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0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0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0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0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0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0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0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0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0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0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0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0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Alexander Villacres</v>
      </c>
      <c r="T121" s="110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0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0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0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0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0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0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0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0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0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0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0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0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0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0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0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0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0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0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0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0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0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0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0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0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0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0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0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0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0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0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0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0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0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0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0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0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0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0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9:</v>
      </c>
      <c r="S123" s="110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Sprint 1: REQ003-3</v>
      </c>
      <c r="T123" s="110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0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0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0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0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0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0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0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0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0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0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0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0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0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0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0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0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0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0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0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Integración final del RepositorioPedidos para persistencia de datos</v>
      </c>
      <c r="T124" s="110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0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0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0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0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0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0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0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0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0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0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0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0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0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0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0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0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0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0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0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46191</v>
      </c>
      <c r="T125" s="110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0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0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0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0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0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0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0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0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0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0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0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0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0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0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0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0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0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0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0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46194</v>
      </c>
      <c r="T126" s="110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0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0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0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0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0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0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0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0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0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0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0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0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0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0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0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0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0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0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0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46194</v>
      </c>
      <c r="T127" s="110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0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0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0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0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0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0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0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0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0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0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0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0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0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0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0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0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0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0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0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10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0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0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0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0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0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0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0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0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0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0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0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0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0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0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0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0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0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0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0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0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0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0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0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0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0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0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0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0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0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0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0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0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0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0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0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0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0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0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0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Alexander Villacres</v>
      </c>
      <c r="T130" s="110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0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0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0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0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0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0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0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0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0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0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0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0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0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0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0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0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0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0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0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0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0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0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0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0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0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0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0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0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0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0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0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0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0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0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0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0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0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0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8:</v>
      </c>
      <c r="S132" s="110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Sprint 1: REQ003-2</v>
      </c>
      <c r="T132" s="110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0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0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0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0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0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0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0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0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0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0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0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0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0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0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0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0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0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0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0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Método validarClienteExistente(tel) para recuperar datos de la entidad Cliente</v>
      </c>
      <c r="T133" s="110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0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0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0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0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0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0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0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0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0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0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0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0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0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0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0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0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0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0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0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46191</v>
      </c>
      <c r="T134" s="110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0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0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0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0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0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0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0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0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0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0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0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0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0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0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0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0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0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0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0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46194</v>
      </c>
      <c r="T135" s="110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0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0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0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0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0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0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0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0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0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0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0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0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0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0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0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0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0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0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0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46194</v>
      </c>
      <c r="T136" s="110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0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0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0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0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0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0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0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0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0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0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0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0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0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0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0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0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0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0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0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10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0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0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0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0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0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0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0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0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0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0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0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0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0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0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0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0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0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0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0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0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0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0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0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0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0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0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0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0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0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0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0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0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0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0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0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0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0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0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0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Kerlly Chiriboga</v>
      </c>
      <c r="T139" s="110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0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0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0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0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0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0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0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0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0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0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0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0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0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0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0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0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0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0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0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0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0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0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0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0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0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0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0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0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0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0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0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0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0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0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0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0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0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0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7:</v>
      </c>
      <c r="S141" s="110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Sprint 1: REQ003-1</v>
      </c>
      <c r="T141" s="110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0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0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0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0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0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0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0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0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0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0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0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0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0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0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0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0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0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0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0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Interfaz InterfazPedidoTel con campos para teléfono y dirección.</v>
      </c>
      <c r="T142" s="110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0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0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0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0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0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0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0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0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0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0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0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0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0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0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0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0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0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0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0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46191</v>
      </c>
      <c r="T143" s="110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0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0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0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0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0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0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0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0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0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0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0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0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0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0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0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0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0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0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0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46194</v>
      </c>
      <c r="T144" s="110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0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0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0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0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0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0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0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0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0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0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0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0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0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0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0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0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0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0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0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46194</v>
      </c>
      <c r="T145" s="110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0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0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0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0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0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0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0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0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0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0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0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0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0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0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0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0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0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0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0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4 días</v>
      </c>
      <c r="T146" s="110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0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0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0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0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0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0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0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0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0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0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0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0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0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0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0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0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0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0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0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0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0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0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0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0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0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0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0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0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0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0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0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0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0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0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0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0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0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0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0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Carlos Caiza</v>
      </c>
      <c r="T148" s="110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0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0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0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0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0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0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0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0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0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0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0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0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0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0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0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0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0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0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0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0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0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0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0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0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0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0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0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0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0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0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0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0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0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0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0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0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0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0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6:</v>
      </c>
      <c r="S150" s="110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Sprint 0: REQ002-3</v>
      </c>
      <c r="T150" s="110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0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0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0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0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0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0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0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0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0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0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0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0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0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0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0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0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0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0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0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Lógica de validación: validarDatosDelPedido() (mínimo 1 producto del Menu).</v>
      </c>
      <c r="T151" s="110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0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0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0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0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0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0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0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0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0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0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0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0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0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0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0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0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0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0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0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46185</v>
      </c>
      <c r="T152" s="110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0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0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0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0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0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0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0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0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0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0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0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0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0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0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0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0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0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0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0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46188</v>
      </c>
      <c r="T153" s="110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0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0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0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0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0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0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0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0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0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0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0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0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0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0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0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0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0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0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0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46188</v>
      </c>
      <c r="T154" s="110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0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0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0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0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0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0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0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0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0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0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0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0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0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0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0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0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0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0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0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4 días</v>
      </c>
      <c r="T155" s="110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0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0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0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0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0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0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0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0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0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0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0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0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0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0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0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0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0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0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0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0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0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0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0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0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0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0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0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0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0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0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0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0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0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0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0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0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0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0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0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Alexander Villacres</v>
      </c>
      <c r="T157" s="110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0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0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0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0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0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0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0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0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0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0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0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0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0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0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0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0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0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0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0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0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0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0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0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0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0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0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0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0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0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0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0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0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0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0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0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0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0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0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5:</v>
      </c>
      <c r="S159" s="110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Sprint 0: REQ002-1</v>
      </c>
      <c r="T159" s="110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0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0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0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0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0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0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0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0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0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0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0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0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0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0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0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0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0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0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0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Implementar métodos tomarPedidoEnMesa() en el ControlRegistroPedido.</v>
      </c>
      <c r="T160" s="110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0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0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0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0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0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0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0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0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0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0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0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0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0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0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0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0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0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0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0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46185</v>
      </c>
      <c r="T161" s="110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0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0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0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0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0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0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0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0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0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0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0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0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0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0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0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0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0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0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0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46188</v>
      </c>
      <c r="T162" s="110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0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0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0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0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0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0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0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0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0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0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0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0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0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0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0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0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0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0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0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46188</v>
      </c>
      <c r="T163" s="110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0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0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0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0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0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0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0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0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0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0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0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0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0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0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0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0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0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0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0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4 días</v>
      </c>
      <c r="T164" s="110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0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0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0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0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0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0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0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0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0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0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0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0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0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0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0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0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0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0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0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0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0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0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0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0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0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0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0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0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0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0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0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0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0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0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0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0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0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0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0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Carlos Caiza</v>
      </c>
      <c r="T166" s="110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0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0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0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0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0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0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0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0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0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0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0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0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0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0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0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0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0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0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0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0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0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0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0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0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0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0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0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0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0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0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0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0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0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0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0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0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0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0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4:</v>
      </c>
      <c r="S168" s="110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Sprint 0: REQ002-1</v>
      </c>
      <c r="T168" s="110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0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0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0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0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0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0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0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0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0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0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0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0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0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0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0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0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0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0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0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Diseño de InterfazPedidoMesa.</v>
      </c>
      <c r="T169" s="110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0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0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0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0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0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0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0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0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0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0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0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0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0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0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0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0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0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0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0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46185</v>
      </c>
      <c r="T170" s="110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0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0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0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0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0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0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0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0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0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0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0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0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0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0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0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0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0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0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0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46188</v>
      </c>
      <c r="T171" s="110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0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0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0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0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0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0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0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0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0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0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0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0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0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0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0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0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0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0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0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46188</v>
      </c>
      <c r="T172" s="110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0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0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0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0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0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0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0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0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0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0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0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0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0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0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0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0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0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0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0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4 días</v>
      </c>
      <c r="T173" s="110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0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0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0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0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0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0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0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0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0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0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0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0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0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0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0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0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0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0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0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0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0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0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0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0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0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0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0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0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0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0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0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0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0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0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0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0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0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0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0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Kerlly Chiriboga</v>
      </c>
      <c r="T175" s="110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0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0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0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0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0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0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0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0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0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0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0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0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0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0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0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0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0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0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0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0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0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0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0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0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0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0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0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0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0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0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0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0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0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0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0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0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0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0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3:</v>
      </c>
      <c r="S177" s="110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Sprint 0: REQ001-3</v>
      </c>
      <c r="T177" s="110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0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0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0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0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0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0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0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0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0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0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0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0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0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0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0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0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0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0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0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Control de seguridad: Bloqueo de cuenta tras 3 intentos fallidos por 5 minutos.</v>
      </c>
      <c r="T178" s="110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0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0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0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0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0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0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0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0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0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0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0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0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0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0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0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0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0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0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0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46182</v>
      </c>
      <c r="T179" s="110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0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0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0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0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0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0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0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0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0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0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0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0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0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0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0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0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0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0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0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46184</v>
      </c>
      <c r="T180" s="110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0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0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0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0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0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0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0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0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0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0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0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0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0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0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0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0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0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0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0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46184</v>
      </c>
      <c r="T181" s="110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0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0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0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0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0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0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0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0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0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0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0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0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0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0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0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0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0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0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0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3 días</v>
      </c>
      <c r="T182" s="110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0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0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0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0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0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0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0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0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0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0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0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0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0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0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0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0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0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0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0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0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0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0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0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0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0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0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0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0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0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0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0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0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0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0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0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0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0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0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0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Alexander Villacres</v>
      </c>
      <c r="T184" s="110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0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0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0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0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0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0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0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0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0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0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0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0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0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0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0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0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0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0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0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0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0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0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0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0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0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0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0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0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0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0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0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0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0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0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0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0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0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0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2:</v>
      </c>
      <c r="S186" s="110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Sprint 0: REQ001-2</v>
      </c>
      <c r="T186" s="110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0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0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0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0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0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0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0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0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0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0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0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0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0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0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0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0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0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0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0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Implementación de métodos y control de registro.</v>
      </c>
      <c r="T187" s="110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0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0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0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0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0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0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0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0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0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0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0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0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0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0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0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0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0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0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0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46182</v>
      </c>
      <c r="T188" s="110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0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0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0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0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0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0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0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0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0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0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0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0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0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0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0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0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0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0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0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46184</v>
      </c>
      <c r="T189" s="110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0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0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0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0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0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0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0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0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0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0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0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0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0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0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0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0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0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0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0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46184</v>
      </c>
      <c r="T190" s="110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0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0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0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0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0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0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0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0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0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0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0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0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0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0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0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0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0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0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0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3 días</v>
      </c>
      <c r="T191" s="110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0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0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0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0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0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0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0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0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0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0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0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0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0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0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0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0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0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0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0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0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0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0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0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0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0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0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0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0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0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0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0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0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0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0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0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0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0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0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0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Carlos Caiza</v>
      </c>
      <c r="T193" s="110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0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0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0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0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0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0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0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0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0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0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0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0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0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0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0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0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0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0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0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0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0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0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0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0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0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0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0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0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0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0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0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0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0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0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0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0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0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0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1:</v>
      </c>
      <c r="S195" s="110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Sprint 0: REQ001-1</v>
      </c>
      <c r="T195" s="110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0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0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0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0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0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0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0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0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0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0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0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0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0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0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0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0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0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0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0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Construcción de interfaz FormularioLogin.</v>
      </c>
      <c r="T196" s="110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0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0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0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0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0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0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0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0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0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0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0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0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0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0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0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0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0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0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0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46182</v>
      </c>
      <c r="T197" s="110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0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0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0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0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0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0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0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0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0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0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0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0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0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0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0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0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0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0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0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46184</v>
      </c>
      <c r="T198" s="110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0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0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0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0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0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0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0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0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0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0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0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0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0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0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0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0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0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0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0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46184</v>
      </c>
      <c r="T199" s="110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0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0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0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0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0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0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0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0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0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0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0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0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0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0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0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0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0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0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0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3 días</v>
      </c>
      <c r="T200" s="110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0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0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0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0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0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0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0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0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0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0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0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0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1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1" t="str" cm="1">
        <f t="array" aca="1" ref="E201" ca="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1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1" t="str" cm="1">
        <f t="array" aca="1" ref="J201" ca="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1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1" t="str" cm="1">
        <f t="array" aca="1" ref="O201" ca="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1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1" t="str" cm="1">
        <f t="array" aca="1" ref="T201" ca="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1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1" t="str" cm="1">
        <f t="array" aca="1" ref="Y201" ca="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1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1" t="str" cm="1">
        <f t="array" aca="1" ref="AD201" ca="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1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1" t="str" cm="1">
        <f t="array" aca="1" ref="AI201" ca="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1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1" t="str" cm="1">
        <f t="array" aca="1" ref="AN201" ca="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1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1" t="str" cm="1">
        <f t="array" aca="1" ref="AS201" ca="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1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1" t="str" cm="1">
        <f t="array" aca="1" ref="AX201" ca="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16" activePane="bottomLeft" state="frozen"/>
      <selection pane="bottomLeft" activeCell="A23" sqref="A23"/>
    </sheetView>
  </sheetViews>
  <sheetFormatPr defaultColWidth="0" defaultRowHeight="14.4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30.75">
      <c r="A2" s="91" t="s">
        <v>2</v>
      </c>
      <c r="B2" s="92" t="s">
        <v>3</v>
      </c>
      <c r="C2" s="102" t="s">
        <v>4</v>
      </c>
      <c r="D2" s="102" t="s">
        <v>5</v>
      </c>
      <c r="E2" s="103">
        <v>46182</v>
      </c>
      <c r="F2" s="93">
        <v>46184</v>
      </c>
      <c r="G2" s="93">
        <v>46184</v>
      </c>
      <c r="H2" s="43" t="str">
        <f ca="1"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.75">
      <c r="A3" s="94" t="s">
        <v>2</v>
      </c>
      <c r="B3" s="95" t="s">
        <v>3</v>
      </c>
      <c r="C3" s="95" t="s">
        <v>7</v>
      </c>
      <c r="D3" s="108" t="s">
        <v>8</v>
      </c>
      <c r="E3" s="105">
        <v>46182</v>
      </c>
      <c r="F3" s="96">
        <v>46184</v>
      </c>
      <c r="G3" s="96">
        <v>46184</v>
      </c>
      <c r="H3" s="45" t="str">
        <f ca="1"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>
      <c r="A4" s="91" t="s">
        <v>2</v>
      </c>
      <c r="B4" s="92" t="s">
        <v>3</v>
      </c>
      <c r="C4" s="92" t="s">
        <v>10</v>
      </c>
      <c r="D4" s="92" t="s">
        <v>11</v>
      </c>
      <c r="E4" s="103">
        <v>46182</v>
      </c>
      <c r="F4" s="93">
        <v>46184</v>
      </c>
      <c r="G4" s="93">
        <v>46184</v>
      </c>
      <c r="H4" s="43" t="str">
        <f ca="1"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>
      <c r="A5" s="94" t="s">
        <v>2</v>
      </c>
      <c r="B5" s="95" t="s">
        <v>3</v>
      </c>
      <c r="C5" s="95" t="s">
        <v>13</v>
      </c>
      <c r="D5" s="95" t="s">
        <v>14</v>
      </c>
      <c r="E5" s="96">
        <v>46185</v>
      </c>
      <c r="F5" s="96">
        <v>46188</v>
      </c>
      <c r="G5" s="96">
        <v>46188</v>
      </c>
      <c r="H5" s="45" t="str">
        <f ca="1"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>
      <c r="A6" s="91" t="s">
        <v>2</v>
      </c>
      <c r="B6" s="92" t="s">
        <v>3</v>
      </c>
      <c r="C6" s="92" t="s">
        <v>13</v>
      </c>
      <c r="D6" s="92" t="s">
        <v>15</v>
      </c>
      <c r="E6" s="93">
        <v>46185</v>
      </c>
      <c r="F6" s="93">
        <v>46188</v>
      </c>
      <c r="G6" s="93">
        <v>46188</v>
      </c>
      <c r="H6" s="43" t="str">
        <f ca="1"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">
      <c r="A7" s="94" t="s">
        <v>2</v>
      </c>
      <c r="B7" s="95" t="s">
        <v>3</v>
      </c>
      <c r="C7" s="106" t="s">
        <v>16</v>
      </c>
      <c r="D7" s="95" t="s">
        <v>17</v>
      </c>
      <c r="E7" s="96">
        <v>46185</v>
      </c>
      <c r="F7" s="96">
        <v>46188</v>
      </c>
      <c r="G7" s="96">
        <v>46188</v>
      </c>
      <c r="H7" s="45" t="str">
        <f ca="1"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12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>
      <c r="A8" s="91" t="s">
        <v>2</v>
      </c>
      <c r="B8" s="92" t="s">
        <v>3</v>
      </c>
      <c r="C8" s="92" t="s">
        <v>18</v>
      </c>
      <c r="D8" s="92" t="s">
        <v>19</v>
      </c>
      <c r="E8" s="93">
        <v>46191</v>
      </c>
      <c r="F8" s="93">
        <v>46194</v>
      </c>
      <c r="G8" s="93">
        <v>46194</v>
      </c>
      <c r="H8" s="43" t="str">
        <f ca="1"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>
      <c r="A9" s="94" t="s">
        <v>2</v>
      </c>
      <c r="B9" s="95" t="s">
        <v>3</v>
      </c>
      <c r="C9" s="95" t="s">
        <v>20</v>
      </c>
      <c r="D9" s="95" t="s">
        <v>21</v>
      </c>
      <c r="E9" s="96">
        <v>46191</v>
      </c>
      <c r="F9" s="96">
        <v>46194</v>
      </c>
      <c r="G9" s="96">
        <v>46194</v>
      </c>
      <c r="H9" s="45" t="str">
        <f ca="1"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>
      <c r="A10" s="91" t="s">
        <v>2</v>
      </c>
      <c r="B10" s="92" t="s">
        <v>3</v>
      </c>
      <c r="C10" s="92" t="s">
        <v>22</v>
      </c>
      <c r="D10" s="92" t="s">
        <v>23</v>
      </c>
      <c r="E10" s="93">
        <v>46191</v>
      </c>
      <c r="F10" s="93">
        <v>46194</v>
      </c>
      <c r="G10" s="93">
        <v>46194</v>
      </c>
      <c r="H10" s="43" t="str">
        <f ca="1"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">
      <c r="A11" s="94" t="s">
        <v>2</v>
      </c>
      <c r="B11" s="95" t="s">
        <v>3</v>
      </c>
      <c r="C11" s="106" t="s">
        <v>24</v>
      </c>
      <c r="D11" s="95" t="s">
        <v>25</v>
      </c>
      <c r="E11" s="97">
        <v>46195</v>
      </c>
      <c r="F11" s="96">
        <v>46198</v>
      </c>
      <c r="G11" s="96">
        <v>46198</v>
      </c>
      <c r="H11" s="45" t="str">
        <f ca="1"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15">
      <c r="A12" s="91" t="s">
        <v>2</v>
      </c>
      <c r="B12" s="92" t="s">
        <v>3</v>
      </c>
      <c r="C12" s="107" t="s">
        <v>26</v>
      </c>
      <c r="D12" s="92" t="s">
        <v>27</v>
      </c>
      <c r="E12" s="98">
        <v>46195</v>
      </c>
      <c r="F12" s="93">
        <v>46198</v>
      </c>
      <c r="G12" s="93">
        <v>46198</v>
      </c>
      <c r="H12" s="43" t="str">
        <f ca="1"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5.75">
      <c r="A13" s="94" t="s">
        <v>2</v>
      </c>
      <c r="B13" s="95" t="s">
        <v>3</v>
      </c>
      <c r="C13" s="106" t="s">
        <v>28</v>
      </c>
      <c r="D13" s="104" t="s">
        <v>29</v>
      </c>
      <c r="E13" s="96">
        <v>46195</v>
      </c>
      <c r="F13" s="96">
        <v>46198</v>
      </c>
      <c r="G13" s="96">
        <v>46198</v>
      </c>
      <c r="H13" s="45" t="str">
        <f ca="1">IF(Datos!$G13&gt;0,Datos!$G13-Datos!$E13+1 &amp; " " &amp; Idiomas!$A$29,"")</f>
        <v>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.75">
      <c r="A14" s="91" t="s">
        <v>2</v>
      </c>
      <c r="B14" s="92" t="s">
        <v>3</v>
      </c>
      <c r="C14" s="107" t="s">
        <v>30</v>
      </c>
      <c r="D14" s="102" t="s">
        <v>31</v>
      </c>
      <c r="E14" s="93">
        <v>46195</v>
      </c>
      <c r="F14" s="93">
        <v>46198</v>
      </c>
      <c r="G14" s="93">
        <v>46198</v>
      </c>
      <c r="H14" s="43" t="str">
        <f ca="1">IF(Datos!$G14&gt;0,Datos!$G14-Datos!$E14+1 &amp; " " &amp; Idiomas!$A$29,"")</f>
        <v>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15">
      <c r="A15" s="94" t="s">
        <v>2</v>
      </c>
      <c r="B15" s="95" t="s">
        <v>3</v>
      </c>
      <c r="C15" s="106" t="s">
        <v>32</v>
      </c>
      <c r="D15" s="95" t="s">
        <v>33</v>
      </c>
      <c r="E15" s="96">
        <v>46195</v>
      </c>
      <c r="F15" s="96">
        <v>46198</v>
      </c>
      <c r="G15" s="96">
        <v>46198</v>
      </c>
      <c r="H15" s="45" t="str">
        <f ca="1">IF(Datos!$G15&gt;0,Datos!$G15-Datos!$E15+1 &amp; " " &amp; Idiomas!$A$29,"")</f>
        <v>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>
      <c r="A16" s="91" t="s">
        <v>2</v>
      </c>
      <c r="B16" s="92" t="s">
        <v>3</v>
      </c>
      <c r="C16" s="92" t="s">
        <v>34</v>
      </c>
      <c r="D16" s="92" t="s">
        <v>35</v>
      </c>
      <c r="E16" s="93">
        <v>46200</v>
      </c>
      <c r="F16" s="93">
        <v>46207</v>
      </c>
      <c r="G16" s="93">
        <v>46207</v>
      </c>
      <c r="H16" s="43" t="str">
        <f ca="1">IF(Datos!$G16&gt;0,Datos!$G16-Datos!$E16+1 &amp; " " &amp; Idiomas!$A$29,"")</f>
        <v>8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15">
      <c r="A17" s="94" t="s">
        <v>2</v>
      </c>
      <c r="B17" s="95" t="s">
        <v>3</v>
      </c>
      <c r="C17" s="95" t="s">
        <v>36</v>
      </c>
      <c r="D17" s="106" t="s">
        <v>37</v>
      </c>
      <c r="E17" s="96">
        <v>46200</v>
      </c>
      <c r="F17" s="96">
        <v>46207</v>
      </c>
      <c r="G17" s="96">
        <v>46207</v>
      </c>
      <c r="H17" s="45" t="str">
        <f ca="1"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>
      <c r="A18" s="91" t="s">
        <v>2</v>
      </c>
      <c r="B18" s="92" t="s">
        <v>3</v>
      </c>
      <c r="C18" s="92" t="s">
        <v>38</v>
      </c>
      <c r="D18" s="92" t="s">
        <v>39</v>
      </c>
      <c r="E18" s="93">
        <v>46209</v>
      </c>
      <c r="F18" s="93">
        <v>46216</v>
      </c>
      <c r="G18" s="93">
        <v>46216</v>
      </c>
      <c r="H18" s="43" t="str">
        <f ca="1"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12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>
      <c r="A19" s="94" t="s">
        <v>2</v>
      </c>
      <c r="B19" s="95" t="s">
        <v>3</v>
      </c>
      <c r="C19" s="95" t="s">
        <v>40</v>
      </c>
      <c r="D19" s="95" t="s">
        <v>41</v>
      </c>
      <c r="E19" s="96">
        <v>46209</v>
      </c>
      <c r="F19" s="96">
        <v>46216</v>
      </c>
      <c r="G19" s="96">
        <v>46216</v>
      </c>
      <c r="H19" s="45" t="str">
        <f ca="1">IF(Datos!$G19&gt;0,Datos!$G19-Datos!$E19+1 &amp; " " &amp; Idiomas!$A$29,"")</f>
        <v>8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>
      <c r="A20" s="91" t="s">
        <v>2</v>
      </c>
      <c r="B20" s="92" t="s">
        <v>3</v>
      </c>
      <c r="C20" s="92" t="s">
        <v>42</v>
      </c>
      <c r="D20" s="92" t="s">
        <v>43</v>
      </c>
      <c r="E20" s="93">
        <v>46200</v>
      </c>
      <c r="F20" s="93">
        <v>46207</v>
      </c>
      <c r="G20" s="93">
        <v>46207</v>
      </c>
      <c r="H20" s="43" t="str">
        <f ca="1">IF(Datos!$G20&gt;0,Datos!$G20-Datos!$E20+1 &amp; " " &amp; Idiomas!$A$29,"")</f>
        <v>8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>
      <c r="A21" s="94" t="s">
        <v>2</v>
      </c>
      <c r="B21" s="95" t="s">
        <v>3</v>
      </c>
      <c r="C21" s="95" t="s">
        <v>44</v>
      </c>
      <c r="D21" s="95" t="s">
        <v>45</v>
      </c>
      <c r="E21" s="96">
        <v>46200</v>
      </c>
      <c r="F21" s="96">
        <v>46207</v>
      </c>
      <c r="G21" s="96">
        <v>46207</v>
      </c>
      <c r="H21" s="45" t="str">
        <f ca="1">IF(Datos!$G21&gt;0,Datos!$G21-Datos!$E21+1 &amp; " " &amp; Idiomas!$A$29,"")</f>
        <v>8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12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15">
      <c r="A22" s="91" t="s">
        <v>2</v>
      </c>
      <c r="B22" s="92" t="s">
        <v>3</v>
      </c>
      <c r="C22" s="107" t="s">
        <v>46</v>
      </c>
      <c r="D22" s="92" t="s">
        <v>47</v>
      </c>
      <c r="E22" s="93">
        <v>46209</v>
      </c>
      <c r="F22" s="93">
        <v>46216</v>
      </c>
      <c r="G22" s="93">
        <v>46216</v>
      </c>
      <c r="H22" s="43" t="str">
        <f ca="1">IF(Datos!$G22&gt;0,Datos!$G22-Datos!$E22+1 &amp; " " &amp; Idiomas!$A$29,"")</f>
        <v>8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>
      <c r="A23" s="94" t="s">
        <v>2</v>
      </c>
      <c r="B23" s="95" t="s">
        <v>3</v>
      </c>
      <c r="C23" s="95" t="s">
        <v>48</v>
      </c>
      <c r="D23" s="95" t="s">
        <v>49</v>
      </c>
      <c r="E23" s="96">
        <v>46209</v>
      </c>
      <c r="F23" s="96">
        <v>46216</v>
      </c>
      <c r="G23" s="96">
        <v>46216</v>
      </c>
      <c r="H23" s="45" t="str">
        <f ca="1"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>
      <c r="A24" s="91"/>
      <c r="B24" s="92"/>
      <c r="C24" s="92"/>
      <c r="D24" s="92"/>
      <c r="E24" s="93"/>
      <c r="F24" s="93"/>
      <c r="G24" s="93"/>
      <c r="H24" s="43" t="str">
        <f ca="1">IF(Datos!$G24&gt;0,Datos!$G24-Datos!$E24+1 &amp; " " &amp; Idiomas!$A$29,"")</f>
        <v/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>
      <c r="A25" s="94"/>
      <c r="B25" s="95"/>
      <c r="C25" s="95"/>
      <c r="D25" s="95"/>
      <c r="E25" s="96"/>
      <c r="F25" s="96"/>
      <c r="G25" s="96"/>
      <c r="H25" s="45" t="str">
        <f ca="1">IF(Datos!$G25&gt;0,Datos!$G25-Datos!$E25+1 &amp; " " &amp; Idiomas!$A$29,"")</f>
        <v/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>
      <c r="A26" s="91"/>
      <c r="B26" s="92"/>
      <c r="C26" s="92"/>
      <c r="D26" s="92"/>
      <c r="E26" s="93"/>
      <c r="F26" s="93"/>
      <c r="G26" s="93"/>
      <c r="H26" s="43" t="str">
        <f ca="1">IF(Datos!$G26&gt;0,Datos!$G26-Datos!$E26+1 &amp; " " &amp; Idiomas!$A$29,"")</f>
        <v/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>
      <c r="A27" s="94"/>
      <c r="B27" s="95"/>
      <c r="C27" s="95"/>
      <c r="D27" s="95"/>
      <c r="E27" s="96"/>
      <c r="F27" s="96"/>
      <c r="G27" s="96"/>
      <c r="H27" s="45" t="str">
        <f ca="1">IF(Datos!$G27&gt;0,Datos!$G27-Datos!$E27+1 &amp; " " &amp; Idiomas!$A$29,"")</f>
        <v/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>
      <c r="A28" s="91"/>
      <c r="B28" s="92"/>
      <c r="C28" s="92"/>
      <c r="D28" s="92"/>
      <c r="E28" s="93"/>
      <c r="F28" s="93"/>
      <c r="G28" s="93"/>
      <c r="H28" s="43" t="str">
        <f ca="1">IF(Datos!$G28&gt;0,Datos!$G28-Datos!$E28+1 &amp; " " &amp; Idiomas!$A$29,"")</f>
        <v/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>
      <c r="A29" s="94"/>
      <c r="B29" s="95"/>
      <c r="C29" s="95"/>
      <c r="D29" s="95"/>
      <c r="E29" s="96"/>
      <c r="F29" s="96"/>
      <c r="G29" s="96"/>
      <c r="H29" s="45" t="str">
        <f ca="1">IF(Datos!$G29&gt;0,Datos!$G29-Datos!$E29+1 &amp; " " &amp; Idiomas!$A$29,"")</f>
        <v/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>
      <c r="A30" s="91"/>
      <c r="B30" s="92"/>
      <c r="C30" s="92"/>
      <c r="D30" s="92"/>
      <c r="E30" s="93"/>
      <c r="F30" s="93"/>
      <c r="G30" s="93"/>
      <c r="H30" s="43" t="str">
        <f ca="1">IF(Datos!$G30&gt;0,Datos!$G30-Datos!$E30+1 &amp; " " &amp; Idiomas!$A$29,"")</f>
        <v/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>
      <c r="A31" s="94"/>
      <c r="B31" s="95"/>
      <c r="C31" s="95"/>
      <c r="D31" s="95"/>
      <c r="E31" s="96"/>
      <c r="F31" s="96"/>
      <c r="G31" s="96"/>
      <c r="H31" s="45" t="str">
        <f ca="1">IF(Datos!$G31&gt;0,Datos!$G31-Datos!$E31+1 &amp; " " &amp; Idiomas!$A$29,"")</f>
        <v/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>
      <c r="A32" s="91"/>
      <c r="B32" s="92"/>
      <c r="C32" s="92"/>
      <c r="D32" s="92"/>
      <c r="E32" s="93"/>
      <c r="F32" s="93"/>
      <c r="G32" s="93"/>
      <c r="H32" s="43" t="str">
        <f ca="1">IF(Datos!$G32&gt;0,Datos!$G32-Datos!$E32+1 &amp; " " &amp; Idiomas!$A$29,"")</f>
        <v/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>
      <c r="A33" s="94"/>
      <c r="B33" s="95"/>
      <c r="C33" s="95"/>
      <c r="D33" s="95"/>
      <c r="E33" s="96"/>
      <c r="F33" s="96"/>
      <c r="G33" s="96"/>
      <c r="H33" s="45" t="str">
        <f ca="1">IF(Datos!$G33&gt;0,Datos!$G33-Datos!$E33+1 &amp; " " &amp; Idiomas!$A$29,"")</f>
        <v/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>
      <c r="A34" s="91"/>
      <c r="B34" s="92"/>
      <c r="C34" s="92"/>
      <c r="D34" s="92"/>
      <c r="E34" s="93"/>
      <c r="F34" s="93"/>
      <c r="G34" s="93"/>
      <c r="H34" s="43" t="str">
        <f ca="1">IF(Datos!$G34&gt;0,Datos!$G34-Datos!$E34+1 &amp; " " &amp; Idiomas!$A$29,"")</f>
        <v/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>
      <c r="A35" s="94"/>
      <c r="B35" s="95"/>
      <c r="C35" s="95"/>
      <c r="D35" s="95"/>
      <c r="E35" s="96"/>
      <c r="F35" s="96"/>
      <c r="G35" s="96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>
      <c r="A36" s="91"/>
      <c r="B36" s="92"/>
      <c r="C36" s="92"/>
      <c r="D36" s="92"/>
      <c r="E36" s="93"/>
      <c r="F36" s="93"/>
      <c r="G36" s="93"/>
      <c r="H36" s="43" t="str">
        <f ca="1">IF(Datos!$G36&gt;0,Datos!$G36-Datos!$E36+1 &amp; " " &amp; Idiomas!$A$29,"")</f>
        <v/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>
      <c r="A37" s="94"/>
      <c r="B37" s="95"/>
      <c r="C37" s="95"/>
      <c r="D37" s="95"/>
      <c r="E37" s="96"/>
      <c r="F37" s="96"/>
      <c r="G37" s="96"/>
      <c r="H37" s="45" t="str">
        <f ca="1">IF(Datos!$G37&gt;0,Datos!$G37-Datos!$E37+1 &amp; " " &amp; Idiomas!$A$29,"")</f>
        <v/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>
      <c r="A38" s="91"/>
      <c r="B38" s="92"/>
      <c r="C38" s="92"/>
      <c r="D38" s="92"/>
      <c r="E38" s="93"/>
      <c r="F38" s="93"/>
      <c r="G38" s="93"/>
      <c r="H38" s="43" t="str">
        <f ca="1">IF(Datos!$G38&gt;0,Datos!$G38-Datos!$E38+1 &amp; " " &amp; Idiomas!$A$29,"")</f>
        <v/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>
      <c r="A39" s="94"/>
      <c r="B39" s="95"/>
      <c r="C39" s="95"/>
      <c r="D39" s="95"/>
      <c r="E39" s="96"/>
      <c r="F39" s="96"/>
      <c r="G39" s="96"/>
      <c r="H39" s="45" t="str">
        <f ca="1">IF(Datos!$G39&gt;0,Datos!$G39-Datos!$E39+1 &amp; " " &amp; Idiomas!$A$29,"")</f>
        <v/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92"/>
      <c r="D40" s="92"/>
      <c r="E40" s="93"/>
      <c r="F40" s="93"/>
      <c r="G40" s="93"/>
      <c r="H40" s="43" t="str">
        <f ca="1">IF(Datos!$G40&gt;0,Datos!$G40-Datos!$E40+1 &amp; " " &amp; Idiomas!$A$29,"")</f>
        <v/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95"/>
      <c r="D41" s="95"/>
      <c r="E41" s="96"/>
      <c r="F41" s="96"/>
      <c r="G41" s="96"/>
      <c r="H41" s="45" t="str">
        <f ca="1">IF(Datos!$G41&gt;0,Datos!$G41-Datos!$E41+1 &amp; " " &amp; Idiomas!$A$29,"")</f>
        <v/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92"/>
      <c r="D42" s="92"/>
      <c r="E42" s="93"/>
      <c r="F42" s="93"/>
      <c r="G42" s="93"/>
      <c r="H42" s="43" t="str">
        <f ca="1">IF(Datos!$G42&gt;0,Datos!$G42-Datos!$E42+1 &amp; " " &amp; Idiomas!$A$29,"")</f>
        <v/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 ca="1">IF(Datos!$G43&gt;0,Datos!$G43-Datos!$E43+1 &amp; " " &amp; Idiomas!$A$29,"")</f>
        <v/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 ca="1">IF(Datos!$G44&gt;0,Datos!$G44-Datos!$E44+1 &amp; " " &amp; Idiomas!$A$29,"")</f>
        <v/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 ca="1">IF(Datos!$G45&gt;0,Datos!$G45-Datos!$E45+1 &amp; " " &amp; Idiomas!$A$29,"")</f>
        <v/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 ca="1">IF(Datos!$G46&gt;0,Datos!$G46-Datos!$E46+1 &amp; " " &amp; Idiomas!$A$29,"")</f>
        <v/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 ca="1">IF(Datos!$G47&gt;0,Datos!$G47-Datos!$E47+1 &amp; " " &amp; Idiomas!$A$29,"")</f>
        <v/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 ca="1">IF(Datos!$G48&gt;0,Datos!$G48-Datos!$E48+1 &amp; " " &amp; Idiomas!$A$29,"")</f>
        <v/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 ca="1">IF(Datos!$G49&gt;0,Datos!$G49-Datos!$E49+1 &amp; " " &amp; Idiomas!$A$29,"")</f>
        <v/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 ca="1">IF(Datos!$G50&gt;0,Datos!$G50-Datos!$E50+1 &amp; " " &amp; Idiomas!$A$29,"")</f>
        <v/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 ca="1">IF(Datos!$G51&gt;0,Datos!$G51-Datos!$E51+1 &amp; " " &amp; Idiomas!$A$29,"")</f>
        <v/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 ca="1">IF(Datos!$G52&gt;0,Datos!$G52-Datos!$E52+1 &amp; " " &amp; Idiomas!$A$29,"")</f>
        <v/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 ca="1">IF(Datos!$G53&gt;0,Datos!$G53-Datos!$E53+1 &amp; " " &amp; Idiomas!$A$29,"")</f>
        <v/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 ca="1">IF(Datos!$G54&gt;0,Datos!$G54-Datos!$E54+1 &amp; " " &amp; Idiomas!$A$29,"")</f>
        <v/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 ca="1">IF(Datos!$G55&gt;0,Datos!$G55-Datos!$E55+1 &amp; " " &amp; Idiomas!$A$29,"")</f>
        <v/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 ca="1">IF(Datos!$G56&gt;0,Datos!$G56-Datos!$E56+1 &amp; " " &amp; Idiomas!$A$29,"")</f>
        <v/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 ca="1">IF(Datos!$G57&gt;0,Datos!$G57-Datos!$E57+1 &amp; " " &amp; Idiomas!$A$29,"")</f>
        <v/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 ca="1">IF(Datos!$G58&gt;0,Datos!$G58-Datos!$E58+1 &amp; " " &amp; Idiomas!$A$29,"")</f>
        <v/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 ca="1">IF(Datos!$G59&gt;0,Datos!$G59-Datos!$E59+1 &amp; " " &amp; Idiomas!$A$29,"")</f>
        <v/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 ca="1">IF(Datos!$G60&gt;0,Datos!$G60-Datos!$E60+1 &amp; " " &amp; Idiomas!$A$29,"")</f>
        <v/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 ca="1">IF(Datos!$G61&gt;0,Datos!$G61-Datos!$E61+1 &amp; " " &amp; Idiomas!$A$29,"")</f>
        <v/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 ca="1">IF(Datos!$G62&gt;0,Datos!$G62-Datos!$E62+1 &amp; " " &amp; Idiomas!$A$29,"")</f>
        <v/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 ca="1">IF(Datos!$G63&gt;0,Datos!$G63-Datos!$E63+1 &amp; " " &amp; Idiomas!$A$29,"")</f>
        <v/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 ca="1">IF(Datos!$G64&gt;0,Datos!$G64-Datos!$E64+1 &amp; " " &amp; Idiomas!$A$29,"")</f>
        <v/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 ca="1">IF(Datos!$G65&gt;0,Datos!$G65-Datos!$E65+1 &amp; " " &amp; Idiomas!$A$29,"")</f>
        <v/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 ca="1">IF(Datos!$G66&gt;0,Datos!$G66-Datos!$E66+1 &amp; " " &amp; Idiomas!$A$29,"")</f>
        <v/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 ca="1">IF(Datos!$G67&gt;0,Datos!$G67-Datos!$E67+1 &amp; " " &amp; Idiomas!$A$29,"")</f>
        <v/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 ca="1">IF(Datos!$G68&gt;0,Datos!$G68-Datos!$E68+1 &amp; " " &amp; Idiomas!$A$29,"")</f>
        <v/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 ca="1">IF(Datos!$G69&gt;0,Datos!$G69-Datos!$E69+1 &amp; " " &amp; Idiomas!$A$29,"")</f>
        <v/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 ca="1">IF(Datos!$G70&gt;0,Datos!$G70-Datos!$E70+1 &amp; " " &amp; Idiomas!$A$29,"")</f>
        <v/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 ca="1">IF(Datos!$G71&gt;0,Datos!$G71-Datos!$E71+1 &amp; " " &amp; Idiomas!$A$29,"")</f>
        <v/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 ca="1">IF(Datos!$G72&gt;0,Datos!$G72-Datos!$E72+1 &amp; " " &amp; Idiomas!$A$29,"")</f>
        <v/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 ca="1">IF(Datos!$G73&gt;0,Datos!$G73-Datos!$E73+1 &amp; " " &amp; Idiomas!$A$29,"")</f>
        <v/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 ca="1">IF(Datos!$G74&gt;0,Datos!$G74-Datos!$E74+1 &amp; " " &amp; Idiomas!$A$29,"")</f>
        <v/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 ca="1">IF(Datos!$G75&gt;0,Datos!$G75-Datos!$E75+1 &amp; " " &amp; Idiomas!$A$29,"")</f>
        <v/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 ca="1">IF(Datos!$G76&gt;0,Datos!$G76-Datos!$E76+1 &amp; " " &amp; Idiomas!$A$29,"")</f>
        <v/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 ca="1">IF(Datos!$G77&gt;0,Datos!$G77-Datos!$E77+1 &amp; " " &amp; Idiomas!$A$29,"")</f>
        <v/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 ca="1">IF(Datos!$G78&gt;0,Datos!$G78-Datos!$E78+1 &amp; " " &amp; Idiomas!$A$29,"")</f>
        <v/>
      </c>
      <c r="I78" s="43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 ca="1">IF(Datos!$G79&gt;0,Datos!$G79-Datos!$E79+1 &amp; " " &amp; Idiomas!$A$29,"")</f>
        <v/>
      </c>
      <c r="I79" s="45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 ca="1">IF(Datos!$G80&gt;0,Datos!$G80-Datos!$E80+1 &amp; " " &amp; Idiomas!$A$29,"")</f>
        <v/>
      </c>
      <c r="I80" s="43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 ca="1">IF(Datos!$G81&gt;0,Datos!$G81-Datos!$E81+1 &amp; " " &amp; Idiomas!$A$29,"")</f>
        <v/>
      </c>
      <c r="I81" s="45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 ca="1">IF(Datos!$G82&gt;0,Datos!$G82-Datos!$E82+1 &amp; " " &amp; Idiomas!$A$29,"")</f>
        <v/>
      </c>
      <c r="I82" s="43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 ca="1">IF(Datos!$G83&gt;0,Datos!$G83-Datos!$E83+1 &amp; " " &amp; Idiomas!$A$29,"")</f>
        <v/>
      </c>
      <c r="I83" s="45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 ca="1">IF(Datos!$G84&gt;0,Datos!$G84-Datos!$E84+1 &amp; " " &amp; Idiomas!$A$29,"")</f>
        <v/>
      </c>
      <c r="I84" s="43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 t="s">
        <v>50</v>
      </c>
      <c r="B85" s="95" t="s">
        <v>51</v>
      </c>
      <c r="C85" s="95"/>
      <c r="D85" s="95"/>
      <c r="E85" s="96"/>
      <c r="F85" s="96"/>
      <c r="G85" s="96"/>
      <c r="H85" s="45" t="str">
        <f ca="1">IF(Datos!$G85&gt;0,Datos!$G85-Datos!$E85+1 &amp; " " &amp; Idiomas!$A$29,"")</f>
        <v/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 ca="1">IF(Datos!$G86&gt;0,Datos!$G86-Datos!$E86+1 &amp; " " &amp; Idiomas!$A$29,"")</f>
        <v/>
      </c>
      <c r="I86" s="43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 ca="1">IF(Datos!$G87&gt;0,Datos!$G87-Datos!$E87+1 &amp; " " &amp; Idiomas!$A$29,"")</f>
        <v/>
      </c>
      <c r="I87" s="45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 ca="1">IF(Datos!$G88&gt;0,Datos!$G88-Datos!$E88+1 &amp; " " &amp; Idiomas!$A$29,"")</f>
        <v/>
      </c>
      <c r="I88" s="43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 ca="1">IF(Datos!$G89&gt;0,Datos!$G89-Datos!$E89+1 &amp; " " &amp; Idiomas!$A$29,"")</f>
        <v/>
      </c>
      <c r="I89" s="45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 ca="1">IF(Datos!$G90&gt;0,Datos!$G90-Datos!$E90+1 &amp; " " &amp; Idiomas!$A$29,"")</f>
        <v/>
      </c>
      <c r="I90" s="43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 ca="1">IF(Datos!$G91&gt;0,Datos!$G91-Datos!$E91+1 &amp; " " &amp; Idiomas!$A$29,"")</f>
        <v/>
      </c>
      <c r="I91" s="45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 ca="1">IF(Datos!$G92&gt;0,Datos!$G92-Datos!$E92+1 &amp; " " &amp; Idiomas!$A$29,"")</f>
        <v/>
      </c>
      <c r="I92" s="43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 ca="1">IF(Datos!$G93&gt;0,Datos!$G93-Datos!$E93+1 &amp; " " &amp; Idiomas!$A$29,"")</f>
        <v/>
      </c>
      <c r="I93" s="45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 ca="1">IF(Datos!$G94&gt;0,Datos!$G94-Datos!$E94+1 &amp; " " &amp; Idiomas!$A$29,"")</f>
        <v/>
      </c>
      <c r="I94" s="43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 ca="1">IF(Datos!$G95&gt;0,Datos!$G95-Datos!$E95+1 &amp; " " &amp; Idiomas!$A$29,"")</f>
        <v/>
      </c>
      <c r="I95" s="45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 ca="1">IF(Datos!$G96&gt;0,Datos!$G96-Datos!$E96+1 &amp; " " &amp; Idiomas!$A$29,"")</f>
        <v/>
      </c>
      <c r="I96" s="43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 ca="1">IF(Datos!$G97&gt;0,Datos!$G97-Datos!$E97+1 &amp; " " &amp; Idiomas!$A$29,"")</f>
        <v/>
      </c>
      <c r="I97" s="45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 ca="1">IF(Datos!$G98&gt;0,Datos!$G98-Datos!$E98+1 &amp; " " &amp; Idiomas!$A$29,"")</f>
        <v/>
      </c>
      <c r="I98" s="43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 ca="1">IF(Datos!$G99&gt;0,Datos!$G99-Datos!$E99+1 &amp; " " &amp; Idiomas!$A$29,"")</f>
        <v/>
      </c>
      <c r="I99" s="45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 ca="1">IF(Datos!$G100&gt;0,Datos!$G100-Datos!$E100+1 &amp; " " &amp; Idiomas!$A$29,"")</f>
        <v/>
      </c>
      <c r="I100" s="43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9"/>
      <c r="B101" s="100"/>
      <c r="C101" s="100"/>
      <c r="D101" s="100"/>
      <c r="E101" s="101"/>
      <c r="F101" s="101"/>
      <c r="G101" s="101"/>
      <c r="H101" s="47" t="str">
        <f ca="1">IF(Datos!$G101&gt;0,Datos!$G101-Datos!$E101+1 &amp; " " &amp; Idiomas!$A$29,"")</f>
        <v/>
      </c>
      <c r="I101" s="47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5" sqref="B5"/>
    </sheetView>
  </sheetViews>
  <sheetFormatPr defaultColWidth="0" defaultRowHeight="14.4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09" t="str">
        <f ca="1">"                " &amp; Idiomas!$A$2 &amp; " v3 ©️            "</f>
        <v xml:space="preserve">                Tablero KANBAN v3 ©️            </v>
      </c>
      <c r="C2" s="109"/>
      <c r="E2" s="7" t="s">
        <v>52</v>
      </c>
      <c r="F2" s="116" t="str">
        <f ca="1">Idiomas!$A$2 &amp; " | #ExcelPedroWave"</f>
        <v>Tablero KANBAN | #ExcelPedroWave</v>
      </c>
      <c r="G2" s="116"/>
      <c r="H2" s="116"/>
    </row>
    <row r="3" spans="2:9" ht="15" customHeight="1">
      <c r="E3" s="8" t="s">
        <v>53</v>
      </c>
      <c r="F3" s="116" t="s">
        <v>54</v>
      </c>
      <c r="G3" s="116"/>
      <c r="H3" s="116"/>
    </row>
    <row r="4" spans="2:9">
      <c r="B4" s="89" t="str">
        <f ca="1">Idiomas!$A$3</f>
        <v>Idioma</v>
      </c>
      <c r="E4" s="8" t="s">
        <v>55</v>
      </c>
      <c r="F4" s="117" t="s">
        <v>56</v>
      </c>
      <c r="G4" s="117"/>
      <c r="H4" s="117"/>
    </row>
    <row r="5" spans="2:9" ht="15" customHeight="1">
      <c r="B5" s="90" t="s">
        <v>57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58</v>
      </c>
    </row>
    <row r="9" spans="2:9">
      <c r="B9" s="75" t="s">
        <v>59</v>
      </c>
      <c r="D9" s="72" t="s">
        <v>60</v>
      </c>
      <c r="F9" s="68" t="s">
        <v>6</v>
      </c>
      <c r="H9" s="66" t="str">
        <f ca="1">Idiomas!$A$12</f>
        <v>Tarea</v>
      </c>
      <c r="I9" s="85">
        <v>1</v>
      </c>
    </row>
    <row r="10" spans="2:9">
      <c r="B10" s="76" t="s">
        <v>61</v>
      </c>
      <c r="D10" s="73" t="s">
        <v>3</v>
      </c>
      <c r="F10" s="69" t="s">
        <v>9</v>
      </c>
      <c r="H10" s="67" t="str">
        <f ca="1">Idiomas!$A$13</f>
        <v>Descripción</v>
      </c>
      <c r="I10" s="87">
        <v>2</v>
      </c>
    </row>
    <row r="11" spans="2:9" ht="15" thickBot="1">
      <c r="B11" s="77" t="s">
        <v>62</v>
      </c>
      <c r="D11" s="74" t="s">
        <v>51</v>
      </c>
      <c r="F11" s="70" t="s">
        <v>12</v>
      </c>
      <c r="H11" s="79" t="str">
        <f ca="1">Idiomas!$A$14</f>
        <v>Inicio</v>
      </c>
      <c r="I11" s="86">
        <v>3</v>
      </c>
    </row>
    <row r="12" spans="2:9">
      <c r="B12" s="76" t="s">
        <v>2</v>
      </c>
      <c r="F12" s="69"/>
      <c r="H12" s="67" t="str">
        <f ca="1">Idiomas!$A$15</f>
        <v>Previsto</v>
      </c>
      <c r="I12" s="87">
        <v>4</v>
      </c>
    </row>
    <row r="13" spans="2:9">
      <c r="B13" s="77" t="s">
        <v>50</v>
      </c>
      <c r="F13" s="70"/>
      <c r="H13" s="79" t="str">
        <f ca="1">Idiomas!$A$16</f>
        <v>Final</v>
      </c>
      <c r="I13" s="86">
        <v>5</v>
      </c>
    </row>
    <row r="14" spans="2:9">
      <c r="B14" s="76" t="s">
        <v>59</v>
      </c>
      <c r="F14" s="69"/>
      <c r="H14" s="67" t="str">
        <f ca="1">Idiomas!$A$17</f>
        <v>Duración</v>
      </c>
      <c r="I14" s="87">
        <v>6</v>
      </c>
    </row>
    <row r="15" spans="2:9">
      <c r="B15" s="77" t="s">
        <v>61</v>
      </c>
      <c r="F15" s="70"/>
      <c r="H15" s="79" t="str">
        <f ca="1">Idiomas!$A$18</f>
        <v>Retraso</v>
      </c>
      <c r="I15" s="86">
        <v>7</v>
      </c>
    </row>
    <row r="16" spans="2:9" ht="15" thickBot="1">
      <c r="B16" s="76"/>
      <c r="F16" s="69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63</v>
      </c>
    </row>
    <row r="18" spans="2:9" ht="15" thickBot="1">
      <c r="B18" s="78"/>
      <c r="F18" s="69"/>
      <c r="H18" s="83" t="str">
        <f ca="1">Idiomas!$A$31</f>
        <v>Cambiar números del 2 al 8</v>
      </c>
    </row>
    <row r="19" spans="2:9" ht="1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" thickBot="1">
      <c r="B20" s="64" t="s">
        <v>62</v>
      </c>
      <c r="F20" s="69"/>
    </row>
    <row r="21" spans="2:9">
      <c r="F21" s="70"/>
    </row>
    <row r="22" spans="2:9" ht="15" thickBot="1">
      <c r="B22" s="2" t="str">
        <f ca="1">Idiomas!$A$11</f>
        <v>Nombre archivo en Excel para la Web</v>
      </c>
      <c r="F22" s="69"/>
    </row>
    <row r="23" spans="2:9" ht="15" thickBot="1">
      <c r="B23" s="113" t="s">
        <v>64</v>
      </c>
      <c r="C23" s="114"/>
      <c r="D23" s="115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5.6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72</v>
      </c>
      <c r="M1" s="50" t="s">
        <v>73</v>
      </c>
      <c r="N1" s="50" t="s">
        <v>74</v>
      </c>
      <c r="O1" s="50" t="str">
        <f ca="1">Idiomas!$A$21</f>
        <v>Celda</v>
      </c>
      <c r="P1" s="51" t="s">
        <v>75</v>
      </c>
    </row>
    <row r="2" spans="1:16" ht="15.6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R-195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R-195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R195:R202</v>
      </c>
    </row>
    <row r="3" spans="1:16" ht="15.6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R-186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R-186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R186:R193</v>
      </c>
    </row>
    <row r="4" spans="1:16" ht="15.6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R-177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R-177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R177:R184</v>
      </c>
    </row>
    <row r="5" spans="1:16" ht="15.6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R-168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R-168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R168:R175</v>
      </c>
    </row>
    <row r="6" spans="1:16" ht="15.6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R159:R166</v>
      </c>
    </row>
    <row r="7" spans="1:16" ht="15.6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R-150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R-150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R150:R157</v>
      </c>
    </row>
    <row r="8" spans="1:16" ht="15.6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R-141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R-141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R141:R148</v>
      </c>
    </row>
    <row r="9" spans="1:16" ht="15.6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R-132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R-132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R132:R139</v>
      </c>
    </row>
    <row r="10" spans="1:16" ht="15.6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R-123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R-123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R123:R130</v>
      </c>
    </row>
    <row r="11" spans="1:16" ht="15.6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R-114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R-114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R114:R121</v>
      </c>
    </row>
    <row r="12" spans="1:16" ht="15.6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R-105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R-105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R105:R112</v>
      </c>
    </row>
    <row r="13" spans="1:16" ht="15.6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R-96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R-96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R96:R103</v>
      </c>
    </row>
    <row r="14" spans="1:16" ht="15.6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R-87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R-87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R87:R94</v>
      </c>
    </row>
    <row r="15" spans="1:16" ht="15.6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R-78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R-78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R78:R85</v>
      </c>
    </row>
    <row r="16" spans="1:16" ht="15.6" thickTop="1" thickBot="1">
      <c r="A16" s="52" t="str">
        <f ca="1"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R-69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R-69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R69:R76</v>
      </c>
    </row>
    <row r="17" spans="1:16" ht="15.6" thickTop="1" thickBot="1">
      <c r="A17" s="56" t="str">
        <f ca="1"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R-60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R-60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R60:R67</v>
      </c>
    </row>
    <row r="18" spans="1:16" ht="15.6" thickTop="1" thickBot="1">
      <c r="A18" s="52" t="str">
        <f ca="1"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R-51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R-51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R51:R58</v>
      </c>
    </row>
    <row r="19" spans="1:16" ht="15.6" thickTop="1" thickBot="1">
      <c r="A19" s="56" t="str">
        <f ca="1"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R-42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R-42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R42:R49</v>
      </c>
    </row>
    <row r="20" spans="1:16" ht="15.6" thickTop="1" thickBot="1">
      <c r="A20" s="52" t="str">
        <f ca="1"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R-33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R-33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R33:R40</v>
      </c>
    </row>
    <row r="21" spans="1:16" ht="15.6" thickTop="1" thickBot="1">
      <c r="A21" s="56" t="str">
        <f ca="1"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R-24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R-24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R24:R31</v>
      </c>
    </row>
    <row r="22" spans="1:16" ht="15.6" thickTop="1" thickBot="1">
      <c r="A22" s="52" t="str">
        <f ca="1"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R-15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R-15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R15:R22</v>
      </c>
    </row>
    <row r="23" spans="1:16" ht="15.6" thickTop="1" thickBot="1">
      <c r="A23" s="56" t="str">
        <f ca="1"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R-6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R-6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R6:R13</v>
      </c>
    </row>
    <row r="24" spans="1:16" ht="15.6" thickTop="1" thickBot="1">
      <c r="A24" s="52" t="str">
        <f ca="1"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>
      <c r="A25" s="56" t="str">
        <f ca="1"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>
      <c r="A26" s="52" t="str">
        <f ca="1"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>
      <c r="A27" s="56" t="str">
        <f ca="1"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>
      <c r="A28" s="52" t="str">
        <f ca="1"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>
      <c r="A29" s="56" t="str">
        <f ca="1"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>
      <c r="A30" s="52" t="str">
        <f ca="1"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>
      <c r="A31" s="56" t="str">
        <f ca="1"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>
      <c r="A32" s="52" t="str">
        <f ca="1"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>
      <c r="A33" s="56" t="str">
        <f ca="1"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>
      <c r="A34" s="52" t="str">
        <f ca="1"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>
      <c r="A35" s="56" t="str">
        <f ca="1"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>
      <c r="A36" s="52" t="str">
        <f ca="1"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>
      <c r="A37" s="56" t="str">
        <f ca="1"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>
      <c r="A38" s="52" t="str">
        <f ca="1"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>
      <c r="A39" s="56" t="str">
        <f ca="1"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>
      <c r="A40" s="52" t="str">
        <f ca="1"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>
      <c r="A41" s="56" t="str">
        <f ca="1"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>
      <c r="A42" s="52" t="str">
        <f ca="1"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>
      <c r="A43" s="56" t="str">
        <f ca="1"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>
      <c r="A44" s="52" t="str">
        <f ca="1"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>
      <c r="A45" s="56" t="str">
        <f ca="1"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>
      <c r="A46" s="52" t="str">
        <f ca="1"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>
      <c r="A47" s="56" t="str">
        <f ca="1"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>
      <c r="A48" s="52" t="str">
        <f ca="1"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>
      <c r="A49" s="56" t="str">
        <f ca="1"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>
      <c r="A50" s="52" t="str">
        <f ca="1"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>
      <c r="A51" s="56" t="str">
        <f ca="1"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>
      <c r="A52" s="52" t="str">
        <f ca="1"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>
      <c r="A53" s="56" t="str">
        <f ca="1"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>
      <c r="A54" s="52" t="str">
        <f ca="1"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>
      <c r="A55" s="56" t="str">
        <f ca="1"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>
      <c r="A56" s="52" t="str">
        <f ca="1"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>
      <c r="A57" s="56" t="str">
        <f ca="1"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>
      <c r="A58" s="52" t="str">
        <f ca="1"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>
      <c r="A59" s="56" t="str">
        <f ca="1"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>
      <c r="A60" s="52" t="str">
        <f ca="1"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>
      <c r="A61" s="56" t="str">
        <f ca="1"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>
      <c r="A62" s="52" t="str">
        <f ca="1"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>
      <c r="A63" s="56" t="str">
        <f ca="1"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>
      <c r="A64" s="52" t="str">
        <f ca="1"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>
      <c r="A65" s="56" t="str">
        <f ca="1"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>
      <c r="A66" s="52" t="str">
        <f ca="1"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>
      <c r="A67" s="56" t="str">
        <f ca="1"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>
      <c r="A68" s="52" t="str">
        <f ca="1"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>
      <c r="A69" s="56" t="str">
        <f ca="1"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>
      <c r="A70" s="52" t="str">
        <f ca="1"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>
      <c r="A71" s="56" t="str">
        <f ca="1"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>
      <c r="A72" s="52" t="str">
        <f ca="1"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>
      <c r="A73" s="56" t="str">
        <f ca="1"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>
      <c r="A74" s="52" t="str">
        <f ca="1"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>
      <c r="A75" s="56" t="str">
        <f ca="1"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>
      <c r="A76" s="52" t="str">
        <f ca="1"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>
      <c r="A77" s="56" t="str">
        <f ca="1"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>
      <c r="A78" s="52" t="str">
        <f ca="1"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aca="1" ref="D78" ca="1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>
      <c r="A79" s="56" t="str">
        <f ca="1"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aca="1" ref="D79" ca="1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>
      <c r="A80" s="52" t="str">
        <f ca="1"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aca="1" ref="D80" ca="1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>
      <c r="A81" s="56" t="str">
        <f ca="1"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aca="1" ref="D81" ca="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>
      <c r="A82" s="52" t="str">
        <f ca="1"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aca="1" ref="D82" ca="1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>
      <c r="A83" s="56" t="str">
        <f ca="1"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aca="1" ref="D83" ca="1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>
      <c r="A84" s="52" t="str">
        <f ca="1"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aca="1" ref="D84" ca="1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>
      <c r="A85" s="56" t="str">
        <f ca="1"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5.6" thickTop="1" thickBot="1">
      <c r="A86" s="52" t="str">
        <f ca="1"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aca="1" ref="D86" ca="1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>
      <c r="A87" s="56" t="str">
        <f ca="1"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aca="1" ref="D87" ca="1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>
      <c r="A88" s="52" t="str">
        <f ca="1"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aca="1" ref="D88" ca="1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>
      <c r="A89" s="56" t="str">
        <f ca="1"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aca="1" ref="D89" ca="1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>
      <c r="A90" s="52" t="str">
        <f ca="1"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aca="1" ref="D90" ca="1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>
      <c r="A91" s="56" t="str">
        <f ca="1"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aca="1" ref="D91" ca="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>
      <c r="A92" s="52" t="str">
        <f ca="1"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aca="1" ref="D92" ca="1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>
      <c r="A93" s="56" t="str">
        <f ca="1"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aca="1" ref="D93" ca="1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>
      <c r="A94" s="52" t="str">
        <f ca="1"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aca="1" ref="D94" ca="1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>
      <c r="A95" s="56" t="str">
        <f ca="1"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aca="1" ref="D95" ca="1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>
      <c r="A96" s="52" t="str">
        <f ca="1"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aca="1" ref="D96" ca="1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>
      <c r="A97" s="56" t="str">
        <f ca="1"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aca="1" ref="D97" ca="1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>
      <c r="A98" s="52" t="str">
        <f ca="1"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aca="1" ref="D98" ca="1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>
      <c r="A99" s="56" t="str">
        <f ca="1"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aca="1" ref="D99" ca="1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>
      <c r="A100" s="52" t="str">
        <f ca="1"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aca="1" ref="D100" ca="1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>
      <c r="A101" s="60" t="str">
        <f ca="1"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aca="1" ref="D101" ca="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22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22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22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22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22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22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22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22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22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20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20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10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10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10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10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10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10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10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10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10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9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9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9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9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9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9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9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9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9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8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8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8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8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8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8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8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8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8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7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7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7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7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7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7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7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7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7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6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6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6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6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6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6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6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6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6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5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5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5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5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5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5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5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5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5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3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3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3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3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3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3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3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3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3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1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1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1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1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1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1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1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7" width="32.5703125" style="2" customWidth="1"/>
    <col min="8" max="16384" width="10.85546875" style="2" hidden="1"/>
  </cols>
  <sheetData>
    <row r="1" spans="1:7">
      <c r="A1" s="27">
        <f ca="1">IFERROR(MATCH(miIdioma,misIdiomas,0),1)</f>
        <v>1</v>
      </c>
      <c r="B1" s="2" t="s">
        <v>57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</row>
    <row r="2" spans="1:7">
      <c r="A2" s="32" t="str" cm="1">
        <f t="array" aca="1" ref="A2" ca="1">INDEX(TablaIdiomas[#This Row],1,$A$1)&amp;""</f>
        <v>Tablero KANBAN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s="36" t="str" cm="1">
        <f t="array" aca="1" ref="A3" ca="1">INDEX(TablaIdiomas[#This Row],1,$A$1)&amp;""</f>
        <v>Idioma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</row>
    <row r="4" spans="1:7">
      <c r="A4" s="32" t="str" cm="1">
        <f t="array" aca="1" ref="A4" ca="1">INDEX(TablaIdiomas[#This Row],1,$A$1)&amp;""</f>
        <v>AVISO: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93</v>
      </c>
    </row>
    <row r="5" spans="1:7">
      <c r="A5" s="36" t="str" cm="1">
        <f t="array" aca="1" ref="A5" ca="1">INDEX(TablaIdiomas[#This Row],1,$A$1)&amp;""</f>
        <v>Es preciso traducir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</row>
    <row r="6" spans="1:7">
      <c r="A6" s="32" t="str" cm="1">
        <f t="array" aca="1" ref="A6" ca="1">INDEX(TablaIdiomas[#This Row],1,$A$1)&amp;""</f>
        <v>Estados y Criticidad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108</v>
      </c>
      <c r="G6" s="2" t="s">
        <v>109</v>
      </c>
    </row>
    <row r="7" spans="1:7">
      <c r="A7" s="36" t="str" cm="1">
        <f t="array" aca="1" ref="A7" ca="1">INDEX(TablaIdiomas[#This Row],1,$A$1)&amp;""</f>
        <v>Estados</v>
      </c>
      <c r="B7" s="2" t="s">
        <v>110</v>
      </c>
      <c r="C7" s="2" t="s">
        <v>111</v>
      </c>
      <c r="D7" s="2" t="s">
        <v>112</v>
      </c>
      <c r="E7" s="2" t="s">
        <v>113</v>
      </c>
      <c r="F7" s="2" t="s">
        <v>114</v>
      </c>
      <c r="G7" s="2" t="s">
        <v>110</v>
      </c>
    </row>
    <row r="8" spans="1:7">
      <c r="A8" s="32" t="str" cm="1">
        <f t="array" aca="1" ref="A8" ca="1">INDEX(TablaIdiomas[#This Row],1,$A$1)&amp;""</f>
        <v>Criticidad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120</v>
      </c>
    </row>
    <row r="9" spans="1:7">
      <c r="A9" s="36" t="str" cm="1">
        <f t="array" aca="1" ref="A9" ca="1">INDEX(TablaIdiomas[#This Row],1,$A$1)&amp;""</f>
        <v>Miembros del equipo</v>
      </c>
      <c r="B9" s="2" t="s">
        <v>121</v>
      </c>
      <c r="C9" s="2" t="s">
        <v>122</v>
      </c>
      <c r="D9" s="2" t="s">
        <v>123</v>
      </c>
      <c r="E9" s="2" t="s">
        <v>124</v>
      </c>
      <c r="F9" s="2" t="s">
        <v>125</v>
      </c>
      <c r="G9" s="2" t="s">
        <v>126</v>
      </c>
    </row>
    <row r="10" spans="1:7">
      <c r="A10" s="32" t="str" cm="1">
        <f t="array" aca="1" ref="A10" ca="1">INDEX(TablaIdiomas[#This Row],1,$A$1)&amp;""</f>
        <v>Estado final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127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132</v>
      </c>
      <c r="C11" s="2" t="s">
        <v>133</v>
      </c>
      <c r="D11" s="2" t="s">
        <v>134</v>
      </c>
      <c r="E11" s="2" t="s">
        <v>135</v>
      </c>
      <c r="F11" s="2" t="s">
        <v>136</v>
      </c>
      <c r="G11" s="2" t="s">
        <v>137</v>
      </c>
    </row>
    <row r="12" spans="1:7">
      <c r="A12" s="32" t="str" cm="1">
        <f t="array" aca="1" ref="A12" ca="1">INDEX(TablaIdiomas[#This Row],1,$A$1)&amp;""</f>
        <v>Tarea</v>
      </c>
      <c r="B12" s="2" t="s">
        <v>138</v>
      </c>
      <c r="C12" s="2" t="s">
        <v>139</v>
      </c>
      <c r="D12" s="2" t="s">
        <v>140</v>
      </c>
      <c r="E12" s="2" t="s">
        <v>141</v>
      </c>
      <c r="F12" s="2" t="s">
        <v>142</v>
      </c>
      <c r="G12" s="2" t="s">
        <v>143</v>
      </c>
    </row>
    <row r="13" spans="1:7">
      <c r="A13" s="36" t="str" cm="1">
        <f t="array" aca="1" ref="A13" ca="1">INDEX(TablaIdiomas[#This Row],1,$A$1)&amp;""</f>
        <v>Descripción</v>
      </c>
      <c r="B13" s="2" t="s">
        <v>144</v>
      </c>
      <c r="C13" s="2" t="s">
        <v>145</v>
      </c>
      <c r="D13" s="2" t="s">
        <v>145</v>
      </c>
      <c r="E13" s="2" t="s">
        <v>146</v>
      </c>
      <c r="F13" s="2" t="s">
        <v>147</v>
      </c>
      <c r="G13" s="2" t="s">
        <v>148</v>
      </c>
    </row>
    <row r="14" spans="1:7">
      <c r="A14" s="32" t="str" cm="1">
        <f t="array" aca="1" ref="A14" ca="1">INDEX(TablaIdiomas[#This Row],1,$A$1)&amp;""</f>
        <v>Inicio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150</v>
      </c>
      <c r="G14" s="2" t="s">
        <v>153</v>
      </c>
    </row>
    <row r="15" spans="1:7">
      <c r="A15" s="36" t="str" cm="1">
        <f t="array" aca="1" ref="A15" ca="1">INDEX(TablaIdiomas[#This Row],1,$A$1)&amp;""</f>
        <v>Previsto</v>
      </c>
      <c r="B15" s="2" t="s">
        <v>154</v>
      </c>
      <c r="C15" s="2" t="s">
        <v>155</v>
      </c>
      <c r="D15" s="2" t="s">
        <v>156</v>
      </c>
      <c r="E15" s="2" t="s">
        <v>157</v>
      </c>
      <c r="F15" s="2" t="s">
        <v>158</v>
      </c>
      <c r="G15" s="2" t="s">
        <v>159</v>
      </c>
    </row>
    <row r="16" spans="1:7">
      <c r="A16" s="32" t="str" cm="1">
        <f t="array" aca="1" ref="A16" ca="1">INDEX(TablaIdiomas[#This Row],1,$A$1)&amp;""</f>
        <v>Final</v>
      </c>
      <c r="B16" s="2" t="s">
        <v>160</v>
      </c>
      <c r="C16" s="2" t="s">
        <v>160</v>
      </c>
      <c r="D16" s="2" t="s">
        <v>161</v>
      </c>
      <c r="E16" s="2" t="s">
        <v>161</v>
      </c>
      <c r="F16" s="2" t="s">
        <v>161</v>
      </c>
      <c r="G16" s="2" t="s">
        <v>160</v>
      </c>
    </row>
    <row r="17" spans="1:7">
      <c r="A17" s="36" t="str" cm="1">
        <f t="array" aca="1" ref="A17" ca="1">INDEX(TablaIdiomas[#This Row],1,$A$1)&amp;""</f>
        <v>Duración</v>
      </c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167</v>
      </c>
    </row>
    <row r="18" spans="1:7">
      <c r="A18" s="32" t="str" cm="1">
        <f t="array" aca="1" ref="A18" ca="1">INDEX(TablaIdiomas[#This Row],1,$A$1)&amp;""</f>
        <v>Retraso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</row>
    <row r="19" spans="1:7">
      <c r="A19" s="36" t="str" cm="1">
        <f t="array" aca="1" ref="A19" ca="1">INDEX(TablaIdiomas[#This Row],1,$A$1)&amp;""</f>
        <v>Asignado</v>
      </c>
      <c r="B19" s="2" t="s">
        <v>174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179</v>
      </c>
    </row>
    <row r="20" spans="1:7">
      <c r="A20" s="32" t="str" cm="1">
        <f t="array" aca="1" ref="A20" ca="1">INDEX(TablaIdiomas[#This Row],1,$A$1)&amp;""</f>
        <v>Filtro</v>
      </c>
      <c r="B20" s="2" t="s">
        <v>180</v>
      </c>
      <c r="C20" s="2" t="s">
        <v>181</v>
      </c>
      <c r="D20" s="2" t="s">
        <v>182</v>
      </c>
      <c r="E20" s="2" t="s">
        <v>180</v>
      </c>
      <c r="F20" s="2" t="s">
        <v>181</v>
      </c>
      <c r="G20" s="2" t="s">
        <v>180</v>
      </c>
    </row>
    <row r="21" spans="1:7">
      <c r="A21" s="36" t="str" cm="1">
        <f t="array" aca="1" ref="A21" ca="1">INDEX(TablaIdiomas[#This Row],1,$A$1)&amp;""</f>
        <v>Celda</v>
      </c>
      <c r="B21" s="2" t="s">
        <v>183</v>
      </c>
      <c r="C21" s="2" t="s">
        <v>184</v>
      </c>
      <c r="D21" s="2" t="s">
        <v>185</v>
      </c>
      <c r="E21" s="2" t="s">
        <v>186</v>
      </c>
      <c r="F21" s="2" t="s">
        <v>187</v>
      </c>
      <c r="G21" s="2" t="s">
        <v>188</v>
      </c>
    </row>
    <row r="22" spans="1:7">
      <c r="A22" s="32" t="str" cm="1">
        <f t="array" aca="1" ref="A22" ca="1">INDEX(TablaIdiomas[#This Row],1,$A$1)&amp;""</f>
        <v>Tarjetas con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</row>
    <row r="23" spans="1:7">
      <c r="A23" s="36" t="str" cm="1">
        <f t="array" aca="1" ref="A23" ca="1">INDEX(TablaIdiomas[#This Row],1,$A$1)&amp;""</f>
        <v>líneas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200</v>
      </c>
    </row>
    <row r="24" spans="1:7">
      <c r="A24" s="32" t="str" cm="1">
        <f t="array" aca="1" ref="A24" ca="1">INDEX(TablaIdiomas[#This Row],1,$A$1)&amp;""</f>
        <v>tareas asignadas a</v>
      </c>
      <c r="B24" s="2" t="s">
        <v>201</v>
      </c>
      <c r="C24" s="2" t="s">
        <v>202</v>
      </c>
      <c r="D24" s="2" t="s">
        <v>203</v>
      </c>
      <c r="E24" s="2" t="s">
        <v>204</v>
      </c>
      <c r="F24" s="2" t="s">
        <v>205</v>
      </c>
      <c r="G24" s="2" t="s">
        <v>206</v>
      </c>
    </row>
    <row r="25" spans="1:7">
      <c r="A25" s="36" t="str" cm="1">
        <f t="array" aca="1" ref="A25" ca="1">INDEX(TablaIdiomas[#This Row],1,$A$1)&amp;""</f>
        <v>Con criticidad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</row>
    <row r="26" spans="1:7">
      <c r="A26" s="32" t="str" cm="1">
        <f t="array" aca="1" ref="A26" ca="1">INDEX(TablaIdiomas[#This Row],1,$A$1)&amp;""</f>
        <v>Con inicio desde</v>
      </c>
      <c r="B26" s="2" t="s">
        <v>213</v>
      </c>
      <c r="C26" s="2" t="s">
        <v>214</v>
      </c>
      <c r="D26" s="2" t="s">
        <v>215</v>
      </c>
      <c r="E26" s="2" t="s">
        <v>216</v>
      </c>
      <c r="F26" s="2" t="s">
        <v>217</v>
      </c>
      <c r="G26" s="2" t="s">
        <v>218</v>
      </c>
    </row>
    <row r="27" spans="1:7">
      <c r="A27" s="36" t="str" cm="1">
        <f t="array" aca="1" ref="A27" ca="1">INDEX(TablaIdiomas[#This Row],1,$A$1)&amp;""</f>
        <v>Con el texto</v>
      </c>
      <c r="B27" s="2" t="s">
        <v>219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224</v>
      </c>
    </row>
    <row r="28" spans="1:7">
      <c r="A28" s="32" t="str" cm="1">
        <f t="array" aca="1" ref="A28" ca="1">INDEX(TablaIdiomas[#This Row],1,$A$1)&amp;""</f>
        <v>Con un retraso &gt;</v>
      </c>
      <c r="B28" s="2" t="s">
        <v>225</v>
      </c>
      <c r="C28" s="2" t="s">
        <v>226</v>
      </c>
      <c r="D28" s="2" t="s">
        <v>227</v>
      </c>
      <c r="E28" s="2" t="s">
        <v>228</v>
      </c>
      <c r="F28" s="2" t="s">
        <v>229</v>
      </c>
      <c r="G28" s="2" t="s">
        <v>230</v>
      </c>
    </row>
    <row r="29" spans="1:7">
      <c r="A29" s="36" t="str" cm="1">
        <f t="array" aca="1" ref="A29" ca="1">INDEX(TablaIdiomas[#This Row],1,$A$1)&amp;""</f>
        <v>días</v>
      </c>
      <c r="B29" s="2" t="s">
        <v>231</v>
      </c>
      <c r="C29" s="2" t="s">
        <v>232</v>
      </c>
      <c r="D29" s="2" t="s">
        <v>233</v>
      </c>
      <c r="E29" s="2" t="s">
        <v>234</v>
      </c>
      <c r="F29" s="2" t="s">
        <v>235</v>
      </c>
      <c r="G29" s="2" t="s">
        <v>236</v>
      </c>
    </row>
    <row r="30" spans="1:7">
      <c r="A30" s="32" t="str" cm="1">
        <f t="array" aca="1" ref="A30" ca="1">INDEX(TablaIdiomas[#This Row],1,$A$1)&amp;""</f>
        <v>Orden en tarjetas</v>
      </c>
      <c r="B30" s="2" t="s">
        <v>237</v>
      </c>
      <c r="C30" s="2" t="s">
        <v>238</v>
      </c>
      <c r="D30" s="2" t="s">
        <v>239</v>
      </c>
      <c r="E30" s="2" t="s">
        <v>240</v>
      </c>
      <c r="F30" s="2" t="s">
        <v>241</v>
      </c>
      <c r="G30" s="2" t="s">
        <v>242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243</v>
      </c>
      <c r="C31" s="2" t="s">
        <v>244</v>
      </c>
      <c r="D31" s="2" t="s">
        <v>245</v>
      </c>
      <c r="E31" s="2" t="s">
        <v>246</v>
      </c>
      <c r="F31" s="2" t="s">
        <v>247</v>
      </c>
      <c r="G31" s="2" t="s">
        <v>248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249</v>
      </c>
      <c r="C32" s="2" t="s">
        <v>250</v>
      </c>
      <c r="D32" s="2" t="s">
        <v>251</v>
      </c>
      <c r="E32" s="2" t="s">
        <v>252</v>
      </c>
      <c r="F32" s="2" t="s">
        <v>253</v>
      </c>
      <c r="G32" s="2" t="s">
        <v>254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255</v>
      </c>
      <c r="C33" s="2" t="s">
        <v>256</v>
      </c>
      <c r="D33" s="2" t="s">
        <v>257</v>
      </c>
      <c r="E33" s="2" t="s">
        <v>258</v>
      </c>
      <c r="F33" s="2" t="s">
        <v>259</v>
      </c>
      <c r="G33" s="2" t="s">
        <v>260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2026-07-23T13:25:57Z</dcterms:modified>
  <cp:category/>
  <cp:contentStatus/>
</cp:coreProperties>
</file>